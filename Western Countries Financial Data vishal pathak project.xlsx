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pivotTables/pivotTable7.xml" ContentType="application/vnd.openxmlformats-officedocument.spreadsheetml.pivotTab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9.xml" ContentType="application/vnd.openxmlformats-officedocument.spreadsheetml.pivotTab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0.xml" ContentType="application/vnd.openxmlformats-officedocument.spreadsheetml.pivotTab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1.xml" ContentType="application/vnd.openxmlformats-officedocument.spreadsheetml.pivotTab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ables/table1.xml" ContentType="application/vnd.openxmlformats-officedocument.spreadsheetml.tab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04 sep\"/>
    </mc:Choice>
  </mc:AlternateContent>
  <bookViews>
    <workbookView xWindow="-105" yWindow="-105" windowWidth="23250" windowHeight="12570" firstSheet="14" activeTab="19"/>
  </bookViews>
  <sheets>
    <sheet name="SUM OF SALES" sheetId="7" r:id="rId1"/>
    <sheet name="Sheet3" sheetId="8" state="hidden" r:id="rId2"/>
    <sheet name="Sheet4" sheetId="9" state="hidden" r:id="rId3"/>
    <sheet name="T TEST" sheetId="10" r:id="rId4"/>
    <sheet name="Sheet7" sheetId="12" state="hidden" r:id="rId5"/>
    <sheet name="Sheet8" sheetId="13" state="hidden" r:id="rId6"/>
    <sheet name="Segments percentage" sheetId="14" r:id="rId7"/>
    <sheet name="segments" sheetId="17" r:id="rId8"/>
    <sheet name="country wise discount band" sheetId="19" r:id="rId9"/>
    <sheet name="year wise profit and unit sold" sheetId="21" r:id="rId10"/>
    <sheet name="Sheet17" sheetId="22" r:id="rId11"/>
    <sheet name="Sheet5" sheetId="24" r:id="rId12"/>
    <sheet name="sum of profit by segment and ye" sheetId="23" r:id="rId13"/>
    <sheet name="Sheet9" sheetId="26" r:id="rId14"/>
    <sheet name="Sheet2" sheetId="29" r:id="rId15"/>
    <sheet name="Sheet11" sheetId="27" r:id="rId16"/>
    <sheet name="segment wise discount" sheetId="28" r:id="rId17"/>
    <sheet name="Sheet6" sheetId="30" r:id="rId18"/>
    <sheet name="Sheet1" sheetId="6" r:id="rId19"/>
    <sheet name="Sheet15" sheetId="20" r:id="rId20"/>
    <sheet name="Statistical Analysis" sheetId="16" r:id="rId21"/>
    <sheet name="Sheet10" sheetId="15" state="hidden" r:id="rId22"/>
  </sheets>
  <definedNames>
    <definedName name="_xlnm._FilterDatabase" localSheetId="19" hidden="1">Sheet15!$A$1:$E$701</definedName>
    <definedName name="_xlnm._FilterDatabase" localSheetId="20" hidden="1">'Statistical Analysis'!$A$1:$I$1</definedName>
  </definedNames>
  <calcPr calcId="162913"/>
  <pivotCaches>
    <pivotCache cacheId="0" r:id="rId2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6" l="1"/>
  <c r="C14" i="16"/>
  <c r="D14" i="16"/>
  <c r="E14" i="16"/>
  <c r="F14" i="16"/>
  <c r="G14" i="16"/>
  <c r="H14" i="16"/>
  <c r="I14" i="16"/>
  <c r="C13" i="16"/>
  <c r="D13" i="16"/>
  <c r="E13" i="16"/>
  <c r="F13" i="16"/>
  <c r="G13" i="16"/>
  <c r="H13" i="16"/>
  <c r="I13" i="16"/>
  <c r="C12" i="16"/>
  <c r="D12" i="16"/>
  <c r="E12" i="16"/>
  <c r="F12" i="16"/>
  <c r="G12" i="16"/>
  <c r="H12" i="16"/>
  <c r="I12" i="16"/>
  <c r="C11" i="16"/>
  <c r="D11" i="16"/>
  <c r="E11" i="16"/>
  <c r="F11" i="16"/>
  <c r="G11" i="16"/>
  <c r="H11" i="16"/>
  <c r="I11" i="16"/>
  <c r="C10" i="16"/>
  <c r="D10" i="16"/>
  <c r="E10" i="16"/>
  <c r="F10" i="16"/>
  <c r="G10" i="16"/>
  <c r="H10" i="16"/>
  <c r="I10" i="16"/>
  <c r="C8" i="16"/>
  <c r="D8" i="16"/>
  <c r="E8" i="16"/>
  <c r="F8" i="16"/>
  <c r="G8" i="16"/>
  <c r="H8" i="16"/>
  <c r="I8" i="16"/>
  <c r="C6" i="16"/>
  <c r="D6" i="16"/>
  <c r="E6" i="16"/>
  <c r="F6" i="16"/>
  <c r="G6" i="16"/>
  <c r="H6" i="16"/>
  <c r="I6" i="16"/>
  <c r="C7" i="16"/>
  <c r="D7" i="16"/>
  <c r="E7" i="16"/>
  <c r="F7" i="16"/>
  <c r="G7" i="16"/>
  <c r="H7" i="16"/>
  <c r="I7" i="16"/>
  <c r="C5" i="16"/>
  <c r="D5" i="16"/>
  <c r="E5" i="16"/>
  <c r="F5" i="16"/>
  <c r="G5" i="16"/>
  <c r="H5" i="16"/>
  <c r="I5" i="16"/>
  <c r="C4" i="16"/>
  <c r="D4" i="16"/>
  <c r="E4" i="16"/>
  <c r="F4" i="16"/>
  <c r="G4" i="16"/>
  <c r="H4" i="16"/>
  <c r="I4" i="16"/>
  <c r="C3" i="16"/>
  <c r="D3" i="16"/>
  <c r="E3" i="16"/>
  <c r="F3" i="16"/>
  <c r="G3" i="16"/>
  <c r="H3" i="16"/>
  <c r="I3" i="16"/>
  <c r="B14" i="16"/>
  <c r="B13" i="16"/>
  <c r="B12" i="16"/>
  <c r="B11" i="16"/>
  <c r="B8" i="16"/>
  <c r="B7" i="16"/>
  <c r="B6" i="16"/>
  <c r="B5" i="16"/>
  <c r="B4" i="16"/>
  <c r="B3" i="16"/>
  <c r="C2" i="16"/>
  <c r="D2" i="16"/>
  <c r="E2" i="16"/>
  <c r="F2" i="16"/>
  <c r="G2" i="16"/>
  <c r="H2" i="16"/>
  <c r="I2" i="16"/>
  <c r="B2" i="16"/>
  <c r="F9" i="16" l="1"/>
  <c r="I9" i="16"/>
  <c r="E9" i="16"/>
  <c r="B9" i="16"/>
  <c r="H9" i="16"/>
  <c r="D9" i="16"/>
  <c r="G9" i="16"/>
  <c r="C9" i="16"/>
  <c r="E704" i="6" l="1"/>
  <c r="F709" i="6"/>
  <c r="G709" i="6"/>
  <c r="H709" i="6"/>
  <c r="I709" i="6"/>
  <c r="J709" i="6"/>
  <c r="K709" i="6"/>
  <c r="L709" i="6"/>
  <c r="F708" i="6"/>
  <c r="G708" i="6"/>
  <c r="H708" i="6"/>
  <c r="I708" i="6"/>
  <c r="J708" i="6"/>
  <c r="K708" i="6"/>
  <c r="L708" i="6"/>
  <c r="F707" i="6"/>
  <c r="G707" i="6"/>
  <c r="H707" i="6"/>
  <c r="I707" i="6"/>
  <c r="J707" i="6"/>
  <c r="K707" i="6"/>
  <c r="L707" i="6"/>
  <c r="F706" i="6"/>
  <c r="G706" i="6"/>
  <c r="H706" i="6"/>
  <c r="I706" i="6"/>
  <c r="J706" i="6"/>
  <c r="K706" i="6"/>
  <c r="L706" i="6"/>
  <c r="F705" i="6"/>
  <c r="G705" i="6"/>
  <c r="H705" i="6"/>
  <c r="I705" i="6"/>
  <c r="J705" i="6"/>
  <c r="K705" i="6"/>
  <c r="L705" i="6"/>
  <c r="F704" i="6"/>
  <c r="G704" i="6"/>
  <c r="H704" i="6"/>
  <c r="I704" i="6"/>
  <c r="J704" i="6"/>
  <c r="K704" i="6"/>
  <c r="L704" i="6"/>
  <c r="E705" i="6"/>
  <c r="E709" i="6"/>
  <c r="E708" i="6"/>
  <c r="E707" i="6"/>
  <c r="E706" i="6"/>
</calcChain>
</file>

<file path=xl/sharedStrings.xml><?xml version="1.0" encoding="utf-8"?>
<sst xmlns="http://schemas.openxmlformats.org/spreadsheetml/2006/main" count="5201" uniqueCount="101">
  <si>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</si>
  <si>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</si>
  <si>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</si>
  <si>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</si>
  <si>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</si>
  <si>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</si>
  <si>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</si>
  <si>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</si>
  <si>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</si>
  <si>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</si>
  <si>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</si>
  <si>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</si>
  <si>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</si>
  <si>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</si>
  <si>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</si>
  <si>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</si>
  <si>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</si>
  <si>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</si>
  <si>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</si>
  <si>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</si>
  <si>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</si>
  <si>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</si>
  <si>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</si>
  <si>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</si>
  <si>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</si>
  <si>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</si>
  <si>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</si>
  <si>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</si>
  <si>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</si>
  <si>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</si>
  <si>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</si>
  <si>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</si>
  <si>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</si>
  <si>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</si>
  <si>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</si>
  <si>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</si>
  <si>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</si>
  <si>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</si>
  <si>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</si>
  <si>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</si>
  <si>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</si>
  <si>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</si>
  <si>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</si>
  <si>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</si>
  <si>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</si>
  <si>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</si>
  <si>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</si>
  <si>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</si>
  <si>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</si>
  <si>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</si>
  <si>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Row Labels</t>
  </si>
  <si>
    <t>Grand Total</t>
  </si>
  <si>
    <t>Sum of  Sales</t>
  </si>
  <si>
    <t>Sum of Profit</t>
  </si>
  <si>
    <t>TOTAL</t>
  </si>
  <si>
    <t>AVERAGE</t>
  </si>
  <si>
    <t>MEDIAN</t>
  </si>
  <si>
    <t>MODE</t>
  </si>
  <si>
    <t>STDDEVA</t>
  </si>
  <si>
    <t>MAX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</si>
  <si>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</si>
  <si>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</si>
  <si>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</si>
  <si>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</si>
  <si>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</si>
  <si>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</si>
  <si>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</si>
  <si>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</si>
  <si>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</si>
  <si>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</si>
  <si>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</si>
  <si>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Column Labels</t>
  </si>
  <si>
    <t>Statistical Analysis</t>
  </si>
  <si>
    <t>Sum of Units Sold</t>
  </si>
  <si>
    <t>Sum of Sale Price</t>
  </si>
  <si>
    <t>Sum of Discounts</t>
  </si>
  <si>
    <t>Sum of COGS</t>
  </si>
  <si>
    <t>Count</t>
  </si>
  <si>
    <t>Kurtosis</t>
  </si>
  <si>
    <t>Maximum</t>
  </si>
  <si>
    <t>Median</t>
  </si>
  <si>
    <t>Minimum</t>
  </si>
  <si>
    <t>Mode</t>
  </si>
  <si>
    <t>Range</t>
  </si>
  <si>
    <t>Sample Variance</t>
  </si>
  <si>
    <t>Skewness</t>
  </si>
  <si>
    <t>Standard deviation</t>
  </si>
  <si>
    <t>Standard Error</t>
  </si>
  <si>
    <t>Sum</t>
  </si>
  <si>
    <t>Total Sum of  Sales</t>
  </si>
  <si>
    <t>Total Sum of Profit</t>
  </si>
  <si>
    <t>Count of Year</t>
  </si>
  <si>
    <t>Min of COGS</t>
  </si>
  <si>
    <t>Min of  Sales</t>
  </si>
  <si>
    <t>Average of Discounts</t>
  </si>
  <si>
    <t>Average of Profit</t>
  </si>
  <si>
    <t>Min of Sale Price</t>
  </si>
  <si>
    <t>(All)</t>
  </si>
  <si>
    <t>ANALYZE THE DATASET</t>
  </si>
  <si>
    <t>The graph inficates prefer government to high  discount band allocatation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</si>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</sst>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m/d/yy\ h:mm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3" fillId="2" borderId="1" xfId="0" applyFont="1" applyFill="1" applyBorder="1"/>
    <xf numFmtId="164" fontId="3" fillId="2" borderId="1" xfId="1" applyNumberFormat="1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1" applyNumberFormat="1" applyFont="1"/>
    <xf numFmtId="0" fontId="0" fillId="3" borderId="0" xfId="0" applyFill="1"/>
    <xf numFmtId="0" fontId="0" fillId="0" borderId="0" xfId="0" applyFill="1" applyBorder="1" applyAlignment="1"/>
    <xf numFmtId="0" fontId="0" fillId="0" borderId="3" xfId="0" applyFill="1" applyBorder="1" applyAlignment="1"/>
    <xf numFmtId="0" fontId="4" fillId="0" borderId="4" xfId="0" applyFont="1" applyFill="1" applyBorder="1" applyAlignment="1">
      <alignment horizontal="center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4" borderId="0" xfId="0" applyFill="1"/>
    <xf numFmtId="0" fontId="5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 applyBorder="1" applyAlignment="1"/>
    <xf numFmtId="0" fontId="0" fillId="7" borderId="3" xfId="0" applyFill="1" applyBorder="1" applyAlignment="1"/>
    <xf numFmtId="0" fontId="0" fillId="8" borderId="0" xfId="0" applyFill="1" applyBorder="1" applyAlignment="1"/>
    <xf numFmtId="0" fontId="0" fillId="8" borderId="3" xfId="0" applyFill="1" applyBorder="1" applyAlignment="1"/>
    <xf numFmtId="0" fontId="4" fillId="4" borderId="4" xfId="0" applyFont="1" applyFill="1" applyBorder="1" applyAlignment="1">
      <alignment horizontal="center"/>
    </xf>
    <xf numFmtId="0" fontId="0" fillId="5" borderId="0" xfId="0" applyFill="1" applyAlignment="1">
      <alignment horizontal="left"/>
    </xf>
    <xf numFmtId="164" fontId="0" fillId="4" borderId="0" xfId="1" applyFont="1" applyFill="1"/>
    <xf numFmtId="0" fontId="0" fillId="3" borderId="0" xfId="0" applyFill="1" applyAlignment="1">
      <alignment horizontal="center"/>
    </xf>
    <xf numFmtId="0" fontId="0" fillId="5" borderId="8" xfId="0" applyFill="1" applyBorder="1"/>
    <xf numFmtId="0" fontId="0" fillId="5" borderId="0" xfId="0" applyFill="1" applyBorder="1"/>
    <xf numFmtId="0" fontId="0" fillId="5" borderId="9" xfId="0" applyFill="1" applyBorder="1"/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164" fontId="0" fillId="9" borderId="0" xfId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[Western Countries Financial Data vishal pathak project.xlsx]SUM OF SALES!PivotTable2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'SUM OF SALES'!$B$3</c:f>
              <c:strCache>
                <c:ptCount val="1"/>
                <c:pt idx="0">
                  <c:v>Sum of 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65D-4FA7-BF2F-E5266709F0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65D-4FA7-BF2F-E5266709F0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65D-4FA7-BF2F-E5266709F0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65D-4FA7-BF2F-E5266709F0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65D-4FA7-BF2F-E5266709F09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'SUM OF SALES'!$A$4:$A$9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'SUM OF SALES'!$B$4:$B$9</c:f>
              <c:numCache>
                <c:formatCode>General</c:formatCode>
                <c:ptCount val="5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C-4696-A01F-D29814928BE0}"/>
            </c:ext>
          </c:extLst>
        </c:ser>
        <c:ser>
          <c:idx val="1"/>
          <c:order val="1"/>
          <c:tx>
            <c:strRef>
              <c:f>'SUM OF SALES'!$C$3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65D-4FA7-BF2F-E5266709F0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65D-4FA7-BF2F-E5266709F0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65D-4FA7-BF2F-E5266709F0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65D-4FA7-BF2F-E5266709F0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65D-4FA7-BF2F-E5266709F09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 OF SALES'!$A$4:$A$9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'SUM OF SALES'!$C$4:$C$9</c:f>
              <c:numCache>
                <c:formatCode>General</c:formatCode>
                <c:ptCount val="5"/>
                <c:pt idx="0">
                  <c:v>3529228.8850000002</c:v>
                </c:pt>
                <c:pt idx="1">
                  <c:v>3781020.7800000007</c:v>
                </c:pt>
                <c:pt idx="2">
                  <c:v>3680388.8200000008</c:v>
                </c:pt>
                <c:pt idx="3">
                  <c:v>2907523.1100000003</c:v>
                </c:pt>
                <c:pt idx="4">
                  <c:v>2995540.6649999991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7C-4696-A01F-D29814928BE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[Western Countries Financial Data vishal pathak project.xlsx]Segments percentage!PivotTable3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'Segments percentage'!$B$3:$B$4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'Segments percentage'!$A$5:$A$10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'Segments percentage'!$B$5:$B$10</c:f>
              <c:numCache>
                <c:formatCode>0.00%</c:formatCode>
                <c:ptCount val="5"/>
                <c:pt idx="0">
                  <c:v>1.9735251966067267E-2</c:v>
                </c:pt>
                <c:pt idx="1">
                  <c:v>0.15941603450919117</c:v>
                </c:pt>
                <c:pt idx="2">
                  <c:v>0.43158893715107866</c:v>
                </c:pt>
                <c:pt idx="3">
                  <c:v>2.0500685072883679E-2</c:v>
                </c:pt>
                <c:pt idx="4">
                  <c:v>0.36875909130077927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D-48A8-87E3-E65CF7792DE2}"/>
            </c:ext>
          </c:extLst>
        </c:ser>
        <c:ser>
          <c:idx val="1"/>
          <c:order val="1"/>
          <c:tx>
            <c:strRef>
              <c:f>'Segments percentage'!$C$3:$C$4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'Segments percentage'!$A$5:$A$10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'Segments percentage'!$C$5:$C$10</c:f>
              <c:numCache>
                <c:formatCode>0.00%</c:formatCode>
                <c:ptCount val="5"/>
                <c:pt idx="0">
                  <c:v>1.5278300396419801E-2</c:v>
                </c:pt>
                <c:pt idx="1">
                  <c:v>0.15976279465655488</c:v>
                </c:pt>
                <c:pt idx="2">
                  <c:v>0.49797556577028529</c:v>
                </c:pt>
                <c:pt idx="3">
                  <c:v>2.4381944423035842E-2</c:v>
                </c:pt>
                <c:pt idx="4">
                  <c:v>0.30260139475370429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9D-48A8-87E3-E65CF7792DE2}"/>
            </c:ext>
          </c:extLst>
        </c:ser>
        <c:ser>
          <c:idx val="2"/>
          <c:order val="2"/>
          <c:tx>
            <c:strRef>
              <c:f>'Segments percentage'!$D$3:$D$4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'Segments percentage'!$A$5:$A$10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'Segments percentage'!$D$5:$D$10</c:f>
              <c:numCache>
                <c:formatCode>0.00%</c:formatCode>
                <c:ptCount val="5"/>
                <c:pt idx="0">
                  <c:v>1.4312742051957194E-2</c:v>
                </c:pt>
                <c:pt idx="1">
                  <c:v>0.17386798520796776</c:v>
                </c:pt>
                <c:pt idx="2">
                  <c:v>0.48724653804020013</c:v>
                </c:pt>
                <c:pt idx="3">
                  <c:v>1.2820267202575284E-2</c:v>
                </c:pt>
                <c:pt idx="4">
                  <c:v>0.31175246749729968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9D-48A8-87E3-E65CF7792DE2}"/>
            </c:ext>
          </c:extLst>
        </c:ser>
        <c:ser>
          <c:idx val="3"/>
          <c:order val="3"/>
          <c:tx>
            <c:strRef>
              <c:f>'Segments percentage'!$E$3:$E$4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'Segments percentage'!$A$5:$A$10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'Segments percentage'!$E$5:$E$10</c:f>
              <c:numCache>
                <c:formatCode>0.00%</c:formatCode>
                <c:ptCount val="5"/>
                <c:pt idx="0">
                  <c:v>1.1187891576280352E-2</c:v>
                </c:pt>
                <c:pt idx="1">
                  <c:v>0.15828084957420671</c:v>
                </c:pt>
                <c:pt idx="2">
                  <c:v>0.46739389975339896</c:v>
                </c:pt>
                <c:pt idx="3">
                  <c:v>2.4398673396491977E-2</c:v>
                </c:pt>
                <c:pt idx="4">
                  <c:v>0.33873868569962184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9D-48A8-87E3-E65CF7792DE2}"/>
            </c:ext>
          </c:extLst>
        </c:ser>
        <c:ser>
          <c:idx val="4"/>
          <c:order val="4"/>
          <c:tx>
            <c:strRef>
              <c:f>'Segments percentage'!$F$3:$F$4</c:f>
              <c:strCache>
                <c:ptCount val="1"/>
                <c:pt idx="0">
                  <c:v>United States of America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'Segments percentage'!$A$5:$A$10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'Segments percentage'!$F$5:$F$10</c:f>
              <c:numCache>
                <c:formatCode>0.00%</c:formatCode>
                <c:ptCount val="5"/>
                <c:pt idx="0">
                  <c:v>1.4643894009018736E-2</c:v>
                </c:pt>
                <c:pt idx="1">
                  <c:v>0.173816800646278</c:v>
                </c:pt>
                <c:pt idx="2">
                  <c:v>0.33522984593531296</c:v>
                </c:pt>
                <c:pt idx="3">
                  <c:v>1.8593249412086049E-2</c:v>
                </c:pt>
                <c:pt idx="4">
                  <c:v>0.45771620999730422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9D-48A8-87E3-E65CF7792DE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93429120"/>
        <c:axId val="393425512"/>
      </c:barChart>
      <c:catAx>
        <c:axId val="39342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425512"/>
        <c:crosses val="autoZero"/>
        <c:auto val="1"/>
        <c:lblAlgn val="ctr"/>
        <c:lblOffset val="100"/>
        <c:noMultiLvlLbl val="0"/>
      </c:catAx>
      <c:valAx>
        <c:axId val="39342551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9342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[Western Countries Financial Data vishal pathak project.xlsx]segments!PivotTable4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segments!$B$3</c:f>
              <c:strCache>
                <c:ptCount val="1"/>
                <c:pt idx="0">
                  <c:v>Sum of Sale 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segments!$A$4:$A$9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segments!$B$4:$B$9</c:f>
              <c:numCache>
                <c:formatCode>General</c:formatCode>
                <c:ptCount val="5"/>
                <c:pt idx="0">
                  <c:v>1200</c:v>
                </c:pt>
                <c:pt idx="1">
                  <c:v>12500</c:v>
                </c:pt>
                <c:pt idx="2">
                  <c:v>37700</c:v>
                </c:pt>
                <c:pt idx="3">
                  <c:v>1500</c:v>
                </c:pt>
                <c:pt idx="4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F-481D-9E9A-A993406774EE}"/>
            </c:ext>
          </c:extLst>
        </c:ser>
        <c:ser>
          <c:idx val="1"/>
          <c:order val="1"/>
          <c:tx>
            <c:strRef>
              <c:f>segments!$C$3</c:f>
              <c:strCache>
                <c:ptCount val="1"/>
                <c:pt idx="0">
                  <c:v>Sum of 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segments!$A$4:$A$9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segments!$C$4:$C$9</c:f>
              <c:numCache>
                <c:formatCode>General</c:formatCode>
                <c:ptCount val="5"/>
                <c:pt idx="0">
                  <c:v>1800593.6399999994</c:v>
                </c:pt>
                <c:pt idx="1">
                  <c:v>19611694.375</c:v>
                </c:pt>
                <c:pt idx="2">
                  <c:v>52504260.670000039</c:v>
                </c:pt>
                <c:pt idx="3">
                  <c:v>2381883.0750000002</c:v>
                </c:pt>
                <c:pt idx="4">
                  <c:v>42427918.5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F-481D-9E9A-A993406774EE}"/>
            </c:ext>
          </c:extLst>
        </c:ser>
        <c:ser>
          <c:idx val="2"/>
          <c:order val="2"/>
          <c:tx>
            <c:strRef>
              <c:f>segments!$D$3</c:f>
              <c:strCache>
                <c:ptCount val="1"/>
                <c:pt idx="0">
                  <c:v>Sum of COGS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segments!$A$4:$A$9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segments!$D$4:$D$9</c:f>
              <c:numCache>
                <c:formatCode>General</c:formatCode>
                <c:ptCount val="5"/>
                <c:pt idx="0">
                  <c:v>483790.5</c:v>
                </c:pt>
                <c:pt idx="1">
                  <c:v>20226240</c:v>
                </c:pt>
                <c:pt idx="2">
                  <c:v>41116087.5</c:v>
                </c:pt>
                <c:pt idx="3">
                  <c:v>1721780</c:v>
                </c:pt>
                <c:pt idx="4">
                  <c:v>38284750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2F-481D-9E9A-A993406774EE}"/>
            </c:ext>
          </c:extLst>
        </c:ser>
        <c:ser>
          <c:idx val="3"/>
          <c:order val="3"/>
          <c:tx>
            <c:strRef>
              <c:f>segments!$E$3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segments!$A$4:$A$9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segments!$E$4:$E$9</c:f>
              <c:numCache>
                <c:formatCode>General</c:formatCode>
                <c:ptCount val="5"/>
                <c:pt idx="0">
                  <c:v>1316803.1400000001</c:v>
                </c:pt>
                <c:pt idx="1">
                  <c:v>-614545.625</c:v>
                </c:pt>
                <c:pt idx="2">
                  <c:v>11388173.169999985</c:v>
                </c:pt>
                <c:pt idx="3">
                  <c:v>660103.07499999984</c:v>
                </c:pt>
                <c:pt idx="4">
                  <c:v>4143168.5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2F-481D-9E9A-A99340677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4450384"/>
        <c:axId val="594455632"/>
        <c:axId val="0"/>
      </c:bar3DChart>
      <c:catAx>
        <c:axId val="594450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455632"/>
        <c:crosses val="autoZero"/>
        <c:auto val="1"/>
        <c:lblAlgn val="ctr"/>
        <c:lblOffset val="100"/>
        <c:noMultiLvlLbl val="0"/>
      </c:catAx>
      <c:valAx>
        <c:axId val="59445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45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[Western Countries Financial Data vishal pathak project.xlsx]country wise discount band!PivotTable10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wise discount band'!$B$3:$B$4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wise discount band'!$A$5:$A$9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wise discount band'!$B$5:$B$9</c:f>
              <c:numCache>
                <c:formatCode>General</c:formatCode>
                <c:ptCount val="5"/>
                <c:pt idx="0">
                  <c:v>94861</c:v>
                </c:pt>
                <c:pt idx="1">
                  <c:v>80157.5</c:v>
                </c:pt>
                <c:pt idx="2">
                  <c:v>52010</c:v>
                </c:pt>
                <c:pt idx="3">
                  <c:v>78860</c:v>
                </c:pt>
                <c:pt idx="4">
                  <c:v>92197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7-432E-9518-1F8D886DB20A}"/>
            </c:ext>
          </c:extLst>
        </c:ser>
        <c:ser>
          <c:idx val="1"/>
          <c:order val="1"/>
          <c:tx>
            <c:strRef>
              <c:f>'country wise discount band'!$C$3:$C$4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'country wise discount band'!$A$5:$A$9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wise discount band'!$C$5:$C$9</c:f>
              <c:numCache>
                <c:formatCode>General</c:formatCode>
                <c:ptCount val="5"/>
                <c:pt idx="0">
                  <c:v>61140.5</c:v>
                </c:pt>
                <c:pt idx="1">
                  <c:v>55735.5</c:v>
                </c:pt>
                <c:pt idx="2">
                  <c:v>52174.5</c:v>
                </c:pt>
                <c:pt idx="3">
                  <c:v>40731</c:v>
                </c:pt>
                <c:pt idx="4">
                  <c:v>52077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97-432E-9518-1F8D886DB20A}"/>
            </c:ext>
          </c:extLst>
        </c:ser>
        <c:ser>
          <c:idx val="2"/>
          <c:order val="2"/>
          <c:tx>
            <c:strRef>
              <c:f>'country wise discount band'!$D$3:$D$4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'country wise discount band'!$A$5:$A$9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wise discount band'!$D$5:$D$9</c:f>
              <c:numCache>
                <c:formatCode>General</c:formatCode>
                <c:ptCount val="5"/>
                <c:pt idx="0">
                  <c:v>71613</c:v>
                </c:pt>
                <c:pt idx="1">
                  <c:v>88103</c:v>
                </c:pt>
                <c:pt idx="2">
                  <c:v>71746</c:v>
                </c:pt>
                <c:pt idx="3">
                  <c:v>71226</c:v>
                </c:pt>
                <c:pt idx="4">
                  <c:v>77010.5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97-432E-9518-1F8D886DB20A}"/>
            </c:ext>
          </c:extLst>
        </c:ser>
        <c:ser>
          <c:idx val="3"/>
          <c:order val="3"/>
          <c:tx>
            <c:strRef>
              <c:f>'country wise discount band'!$E$3:$E$4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'country wise discount band'!$A$5:$A$9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'country wise discount band'!$E$5:$E$9</c:f>
              <c:numCache>
                <c:formatCode>General</c:formatCode>
                <c:ptCount val="5"/>
                <c:pt idx="0">
                  <c:v>19814</c:v>
                </c:pt>
                <c:pt idx="1">
                  <c:v>16935</c:v>
                </c:pt>
                <c:pt idx="2">
                  <c:v>25563.5</c:v>
                </c:pt>
                <c:pt idx="3">
                  <c:v>12508</c:v>
                </c:pt>
                <c:pt idx="4">
                  <c:v>11343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97-432E-9518-1F8D886DB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472368"/>
        <c:axId val="402472696"/>
      </c:barChart>
      <c:catAx>
        <c:axId val="40247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72696"/>
        <c:crosses val="autoZero"/>
        <c:auto val="1"/>
        <c:lblAlgn val="ctr"/>
        <c:lblOffset val="100"/>
        <c:noMultiLvlLbl val="0"/>
      </c:catAx>
      <c:valAx>
        <c:axId val="402472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7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[Western Countries Financial Data vishal pathak project.xlsx]year wise profit and unit sold!PivotTable11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wise profit and unit sold'!$B$3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multiLvlStrRef>
              <c:f>'year wise profit and unit sold'!$A$4:$A$19</c:f>
              <c:multiLvlStrCache>
                <c:ptCount val="10"/>
                <c:lvl>
                  <c:pt idx="0">
                    <c:v>2013</c:v>
                  </c:pt>
                  <c:pt idx="1">
                    <c:v>2014</c:v>
                  </c:pt>
                  <c:pt idx="2">
                    <c:v>2013</c:v>
                  </c:pt>
                  <c:pt idx="3">
                    <c:v>2014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2014</c:v>
                  </c:pt>
                  <c:pt idx="8">
                    <c:v>2013</c:v>
                  </c:pt>
                  <c:pt idx="9">
                    <c:v>2014</c:v>
                  </c:pt>
                </c:lvl>
                <c:lvl>
                  <c:pt idx="0">
                    <c:v>Canada</c:v>
                  </c:pt>
                  <c:pt idx="2">
                    <c:v>France</c:v>
                  </c:pt>
                  <c:pt idx="4">
                    <c:v>Germany</c:v>
                  </c:pt>
                  <c:pt idx="6">
                    <c:v>Mexico</c:v>
                  </c:pt>
                  <c:pt idx="8">
                    <c:v>United States of America</c:v>
                  </c:pt>
                </c:lvl>
              </c:multiLvlStrCache>
            </c:multiLvlStrRef>
          </c:cat>
          <c:val>
            <c:numRef>
              <c:f>'year wise profit and unit sold'!$B$4:$B$19</c:f>
              <c:numCache>
                <c:formatCode>General</c:formatCode>
                <c:ptCount val="10"/>
                <c:pt idx="0">
                  <c:v>803671.7799999998</c:v>
                </c:pt>
                <c:pt idx="1">
                  <c:v>2725557.1049999995</c:v>
                </c:pt>
                <c:pt idx="2">
                  <c:v>811332.17</c:v>
                </c:pt>
                <c:pt idx="3">
                  <c:v>2969688.6099999994</c:v>
                </c:pt>
                <c:pt idx="4">
                  <c:v>1118219.4700000002</c:v>
                </c:pt>
                <c:pt idx="5">
                  <c:v>2562169.3500000024</c:v>
                </c:pt>
                <c:pt idx="6">
                  <c:v>592670.26000000013</c:v>
                </c:pt>
                <c:pt idx="7">
                  <c:v>2314852.8499999992</c:v>
                </c:pt>
                <c:pt idx="8">
                  <c:v>552570.82999999996</c:v>
                </c:pt>
                <c:pt idx="9">
                  <c:v>2442969.835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7-4381-92DE-C8379CC83838}"/>
            </c:ext>
          </c:extLst>
        </c:ser>
        <c:ser>
          <c:idx val="1"/>
          <c:order val="1"/>
          <c:tx>
            <c:strRef>
              <c:f>'year wise profit and unit sold'!$C$3</c:f>
              <c:strCache>
                <c:ptCount val="1"/>
                <c:pt idx="0">
                  <c:v>Sum of Units 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multiLvlStrRef>
              <c:f>'year wise profit and unit sold'!$A$4:$A$19</c:f>
              <c:multiLvlStrCache>
                <c:ptCount val="10"/>
                <c:lvl>
                  <c:pt idx="0">
                    <c:v>2013</c:v>
                  </c:pt>
                  <c:pt idx="1">
                    <c:v>2014</c:v>
                  </c:pt>
                  <c:pt idx="2">
                    <c:v>2013</c:v>
                  </c:pt>
                  <c:pt idx="3">
                    <c:v>2014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2014</c:v>
                  </c:pt>
                  <c:pt idx="8">
                    <c:v>2013</c:v>
                  </c:pt>
                  <c:pt idx="9">
                    <c:v>2014</c:v>
                  </c:pt>
                </c:lvl>
                <c:lvl>
                  <c:pt idx="0">
                    <c:v>Canada</c:v>
                  </c:pt>
                  <c:pt idx="2">
                    <c:v>France</c:v>
                  </c:pt>
                  <c:pt idx="4">
                    <c:v>Germany</c:v>
                  </c:pt>
                  <c:pt idx="6">
                    <c:v>Mexico</c:v>
                  </c:pt>
                  <c:pt idx="8">
                    <c:v>United States of America</c:v>
                  </c:pt>
                </c:lvl>
              </c:multiLvlStrCache>
            </c:multiLvlStrRef>
          </c:cat>
          <c:val>
            <c:numRef>
              <c:f>'year wise profit and unit sold'!$C$4:$C$19</c:f>
              <c:numCache>
                <c:formatCode>General</c:formatCode>
                <c:ptCount val="10"/>
                <c:pt idx="0">
                  <c:v>62291</c:v>
                </c:pt>
                <c:pt idx="1">
                  <c:v>185137.5</c:v>
                </c:pt>
                <c:pt idx="2">
                  <c:v>51326</c:v>
                </c:pt>
                <c:pt idx="3">
                  <c:v>189605</c:v>
                </c:pt>
                <c:pt idx="4">
                  <c:v>54272</c:v>
                </c:pt>
                <c:pt idx="5">
                  <c:v>147222</c:v>
                </c:pt>
                <c:pt idx="6">
                  <c:v>49305</c:v>
                </c:pt>
                <c:pt idx="7">
                  <c:v>154020</c:v>
                </c:pt>
                <c:pt idx="8">
                  <c:v>47480</c:v>
                </c:pt>
                <c:pt idx="9">
                  <c:v>185147.5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57-4381-92DE-C8379CC83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3753296"/>
        <c:axId val="543755264"/>
      </c:barChart>
      <c:catAx>
        <c:axId val="543753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 WISE PROFIT AND UNIT SOLD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55264"/>
        <c:crosses val="autoZero"/>
        <c:auto val="1"/>
        <c:lblAlgn val="ctr"/>
        <c:lblOffset val="100"/>
        <c:noMultiLvlLbl val="0"/>
      </c:catAx>
      <c:valAx>
        <c:axId val="54375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5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[Western Countries Financial Data vishal pathak project.xlsx]Sheet17!PivotTable12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  <c:pivotFmt>
        <c:idx val="1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Sheet17!$B$3</c:f>
              <c:strCache>
                <c:ptCount val="1"/>
                <c:pt idx="0">
                  <c:v>Sum of  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Sheet17!$A$4:$A$19</c:f>
              <c:multiLvlStrCache>
                <c:ptCount val="10"/>
                <c:lvl>
                  <c:pt idx="0">
                    <c:v>2013</c:v>
                  </c:pt>
                  <c:pt idx="1">
                    <c:v>2014</c:v>
                  </c:pt>
                  <c:pt idx="2">
                    <c:v>2013</c:v>
                  </c:pt>
                  <c:pt idx="3">
                    <c:v>2014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2014</c:v>
                  </c:pt>
                  <c:pt idx="8">
                    <c:v>2013</c:v>
                  </c:pt>
                  <c:pt idx="9">
                    <c:v>2014</c:v>
                  </c:pt>
                </c:lvl>
                <c:lvl>
                  <c:pt idx="0">
                    <c:v>Canada</c:v>
                  </c:pt>
                  <c:pt idx="2">
                    <c:v>France</c:v>
                  </c:pt>
                  <c:pt idx="4">
                    <c:v>Germany</c:v>
                  </c:pt>
                  <c:pt idx="6">
                    <c:v>Mexico</c:v>
                  </c:pt>
                  <c:pt idx="8">
                    <c:v>United States of America</c:v>
                  </c:pt>
                </c:lvl>
              </c:multiLvlStrCache>
            </c:multiLvlStrRef>
          </c:cat>
          <c:val>
            <c:numRef>
              <c:f>Sheet17!$B$4:$B$19</c:f>
              <c:numCache>
                <c:formatCode>General</c:formatCode>
                <c:ptCount val="10"/>
                <c:pt idx="0">
                  <c:v>5175888.78</c:v>
                </c:pt>
                <c:pt idx="1">
                  <c:v>19711766.105</c:v>
                </c:pt>
                <c:pt idx="2">
                  <c:v>5132795.17</c:v>
                </c:pt>
                <c:pt idx="3">
                  <c:v>19221377.110000007</c:v>
                </c:pt>
                <c:pt idx="4">
                  <c:v>6227735.4699999988</c:v>
                </c:pt>
                <c:pt idx="5">
                  <c:v>17277605.350000001</c:v>
                </c:pt>
                <c:pt idx="6">
                  <c:v>4754421.26</c:v>
                </c:pt>
                <c:pt idx="7">
                  <c:v>16194930.85</c:v>
                </c:pt>
                <c:pt idx="8">
                  <c:v>5124414.83</c:v>
                </c:pt>
                <c:pt idx="9">
                  <c:v>19905415.335000005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F7-4830-B704-DC9453AD328C}"/>
            </c:ext>
          </c:extLst>
        </c:ser>
        <c:ser>
          <c:idx val="1"/>
          <c:order val="1"/>
          <c:tx>
            <c:strRef>
              <c:f>Sheet17!$C$3</c:f>
              <c:strCache>
                <c:ptCount val="1"/>
                <c:pt idx="0">
                  <c:v>Sum of Discounts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Sheet17!$A$4:$A$19</c:f>
              <c:multiLvlStrCache>
                <c:ptCount val="10"/>
                <c:lvl>
                  <c:pt idx="0">
                    <c:v>2013</c:v>
                  </c:pt>
                  <c:pt idx="1">
                    <c:v>2014</c:v>
                  </c:pt>
                  <c:pt idx="2">
                    <c:v>2013</c:v>
                  </c:pt>
                  <c:pt idx="3">
                    <c:v>2014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2014</c:v>
                  </c:pt>
                  <c:pt idx="8">
                    <c:v>2013</c:v>
                  </c:pt>
                  <c:pt idx="9">
                    <c:v>2014</c:v>
                  </c:pt>
                </c:lvl>
                <c:lvl>
                  <c:pt idx="0">
                    <c:v>Canada</c:v>
                  </c:pt>
                  <c:pt idx="2">
                    <c:v>France</c:v>
                  </c:pt>
                  <c:pt idx="4">
                    <c:v>Germany</c:v>
                  </c:pt>
                  <c:pt idx="6">
                    <c:v>Mexico</c:v>
                  </c:pt>
                  <c:pt idx="8">
                    <c:v>United States of America</c:v>
                  </c:pt>
                </c:lvl>
              </c:multiLvlStrCache>
            </c:multiLvlStrRef>
          </c:cat>
          <c:val>
            <c:numRef>
              <c:f>Sheet17!$C$4:$C$19</c:f>
              <c:numCache>
                <c:formatCode>General</c:formatCode>
                <c:ptCount val="10"/>
                <c:pt idx="0">
                  <c:v>379497.22000000003</c:v>
                </c:pt>
                <c:pt idx="1">
                  <c:v>1665011.3949999998</c:v>
                </c:pt>
                <c:pt idx="2">
                  <c:v>448087.82999999996</c:v>
                </c:pt>
                <c:pt idx="3">
                  <c:v>1279414.3899999997</c:v>
                </c:pt>
                <c:pt idx="4">
                  <c:v>402529.53</c:v>
                </c:pt>
                <c:pt idx="5">
                  <c:v>1013597.1500000005</c:v>
                </c:pt>
                <c:pt idx="6">
                  <c:v>396479.74000000005</c:v>
                </c:pt>
                <c:pt idx="7">
                  <c:v>1381103.1500000001</c:v>
                </c:pt>
                <c:pt idx="8">
                  <c:v>518937.17</c:v>
                </c:pt>
                <c:pt idx="9">
                  <c:v>1720590.6649999998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F7-4830-B704-DC9453AD328C}"/>
            </c:ext>
          </c:extLst>
        </c:ser>
        <c:ser>
          <c:idx val="2"/>
          <c:order val="2"/>
          <c:tx>
            <c:strRef>
              <c:f>Sheet17!$D$3</c:f>
              <c:strCache>
                <c:ptCount val="1"/>
                <c:pt idx="0">
                  <c:v>Sum of COGS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Sheet17!$A$4:$A$19</c:f>
              <c:multiLvlStrCache>
                <c:ptCount val="10"/>
                <c:lvl>
                  <c:pt idx="0">
                    <c:v>2013</c:v>
                  </c:pt>
                  <c:pt idx="1">
                    <c:v>2014</c:v>
                  </c:pt>
                  <c:pt idx="2">
                    <c:v>2013</c:v>
                  </c:pt>
                  <c:pt idx="3">
                    <c:v>2014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2014</c:v>
                  </c:pt>
                  <c:pt idx="8">
                    <c:v>2013</c:v>
                  </c:pt>
                  <c:pt idx="9">
                    <c:v>2014</c:v>
                  </c:pt>
                </c:lvl>
                <c:lvl>
                  <c:pt idx="0">
                    <c:v>Canada</c:v>
                  </c:pt>
                  <c:pt idx="2">
                    <c:v>France</c:v>
                  </c:pt>
                  <c:pt idx="4">
                    <c:v>Germany</c:v>
                  </c:pt>
                  <c:pt idx="6">
                    <c:v>Mexico</c:v>
                  </c:pt>
                  <c:pt idx="8">
                    <c:v>United States of America</c:v>
                  </c:pt>
                </c:lvl>
              </c:multiLvlStrCache>
            </c:multiLvlStrRef>
          </c:cat>
          <c:val>
            <c:numRef>
              <c:f>Sheet17!$D$4:$D$19</c:f>
              <c:numCache>
                <c:formatCode>General</c:formatCode>
                <c:ptCount val="10"/>
                <c:pt idx="0">
                  <c:v>4372217</c:v>
                </c:pt>
                <c:pt idx="1">
                  <c:v>16986209</c:v>
                </c:pt>
                <c:pt idx="2">
                  <c:v>4321463</c:v>
                </c:pt>
                <c:pt idx="3">
                  <c:v>16251688.5</c:v>
                </c:pt>
                <c:pt idx="4">
                  <c:v>5109516</c:v>
                </c:pt>
                <c:pt idx="5">
                  <c:v>14715436</c:v>
                </c:pt>
                <c:pt idx="6">
                  <c:v>4161751</c:v>
                </c:pt>
                <c:pt idx="7">
                  <c:v>13880078</c:v>
                </c:pt>
                <c:pt idx="8">
                  <c:v>4571844</c:v>
                </c:pt>
                <c:pt idx="9">
                  <c:v>17462445.5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F7-4830-B704-DC9453AD3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796240"/>
        <c:axId val="597802800"/>
      </c:lineChart>
      <c:catAx>
        <c:axId val="5977962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02800"/>
        <c:crosses val="autoZero"/>
        <c:auto val="1"/>
        <c:lblAlgn val="ctr"/>
        <c:lblOffset val="100"/>
        <c:noMultiLvlLbl val="0"/>
      </c:catAx>
      <c:valAx>
        <c:axId val="5978028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[Western Countries Financial Data vishal pathak project.xlsx]Sheet17!PivotTable12</c:name>
    <c:fmtId val="1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  <c:pivotFmt>
        <c:idx val="1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  <c:pivotFmt>
        <c:idx val="1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Sheet17!$B$3</c:f>
              <c:strCache>
                <c:ptCount val="1"/>
                <c:pt idx="0">
                  <c:v>Sum of  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Sheet17!$A$4:$A$19</c:f>
              <c:multiLvlStrCache>
                <c:ptCount val="10"/>
                <c:lvl>
                  <c:pt idx="0">
                    <c:v>2013</c:v>
                  </c:pt>
                  <c:pt idx="1">
                    <c:v>2014</c:v>
                  </c:pt>
                  <c:pt idx="2">
                    <c:v>2013</c:v>
                  </c:pt>
                  <c:pt idx="3">
                    <c:v>2014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2014</c:v>
                  </c:pt>
                  <c:pt idx="8">
                    <c:v>2013</c:v>
                  </c:pt>
                  <c:pt idx="9">
                    <c:v>2014</c:v>
                  </c:pt>
                </c:lvl>
                <c:lvl>
                  <c:pt idx="0">
                    <c:v>Canada</c:v>
                  </c:pt>
                  <c:pt idx="2">
                    <c:v>France</c:v>
                  </c:pt>
                  <c:pt idx="4">
                    <c:v>Germany</c:v>
                  </c:pt>
                  <c:pt idx="6">
                    <c:v>Mexico</c:v>
                  </c:pt>
                  <c:pt idx="8">
                    <c:v>United States of America</c:v>
                  </c:pt>
                </c:lvl>
              </c:multiLvlStrCache>
            </c:multiLvlStrRef>
          </c:cat>
          <c:val>
            <c:numRef>
              <c:f>Sheet17!$B$4:$B$19</c:f>
              <c:numCache>
                <c:formatCode>General</c:formatCode>
                <c:ptCount val="10"/>
                <c:pt idx="0">
                  <c:v>5175888.78</c:v>
                </c:pt>
                <c:pt idx="1">
                  <c:v>19711766.105</c:v>
                </c:pt>
                <c:pt idx="2">
                  <c:v>5132795.17</c:v>
                </c:pt>
                <c:pt idx="3">
                  <c:v>19221377.110000007</c:v>
                </c:pt>
                <c:pt idx="4">
                  <c:v>6227735.4699999988</c:v>
                </c:pt>
                <c:pt idx="5">
                  <c:v>17277605.350000001</c:v>
                </c:pt>
                <c:pt idx="6">
                  <c:v>4754421.26</c:v>
                </c:pt>
                <c:pt idx="7">
                  <c:v>16194930.85</c:v>
                </c:pt>
                <c:pt idx="8">
                  <c:v>5124414.83</c:v>
                </c:pt>
                <c:pt idx="9">
                  <c:v>19905415.335000005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B3-4EB8-B0BD-60D5DC0B458E}"/>
            </c:ext>
          </c:extLst>
        </c:ser>
        <c:ser>
          <c:idx val="1"/>
          <c:order val="1"/>
          <c:tx>
            <c:strRef>
              <c:f>Sheet17!$C$3</c:f>
              <c:strCache>
                <c:ptCount val="1"/>
                <c:pt idx="0">
                  <c:v>Sum of Discounts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Sheet17!$A$4:$A$19</c:f>
              <c:multiLvlStrCache>
                <c:ptCount val="10"/>
                <c:lvl>
                  <c:pt idx="0">
                    <c:v>2013</c:v>
                  </c:pt>
                  <c:pt idx="1">
                    <c:v>2014</c:v>
                  </c:pt>
                  <c:pt idx="2">
                    <c:v>2013</c:v>
                  </c:pt>
                  <c:pt idx="3">
                    <c:v>2014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2014</c:v>
                  </c:pt>
                  <c:pt idx="8">
                    <c:v>2013</c:v>
                  </c:pt>
                  <c:pt idx="9">
                    <c:v>2014</c:v>
                  </c:pt>
                </c:lvl>
                <c:lvl>
                  <c:pt idx="0">
                    <c:v>Canada</c:v>
                  </c:pt>
                  <c:pt idx="2">
                    <c:v>France</c:v>
                  </c:pt>
                  <c:pt idx="4">
                    <c:v>Germany</c:v>
                  </c:pt>
                  <c:pt idx="6">
                    <c:v>Mexico</c:v>
                  </c:pt>
                  <c:pt idx="8">
                    <c:v>United States of America</c:v>
                  </c:pt>
                </c:lvl>
              </c:multiLvlStrCache>
            </c:multiLvlStrRef>
          </c:cat>
          <c:val>
            <c:numRef>
              <c:f>Sheet17!$C$4:$C$19</c:f>
              <c:numCache>
                <c:formatCode>General</c:formatCode>
                <c:ptCount val="10"/>
                <c:pt idx="0">
                  <c:v>379497.22000000003</c:v>
                </c:pt>
                <c:pt idx="1">
                  <c:v>1665011.3949999998</c:v>
                </c:pt>
                <c:pt idx="2">
                  <c:v>448087.82999999996</c:v>
                </c:pt>
                <c:pt idx="3">
                  <c:v>1279414.3899999997</c:v>
                </c:pt>
                <c:pt idx="4">
                  <c:v>402529.53</c:v>
                </c:pt>
                <c:pt idx="5">
                  <c:v>1013597.1500000005</c:v>
                </c:pt>
                <c:pt idx="6">
                  <c:v>396479.74000000005</c:v>
                </c:pt>
                <c:pt idx="7">
                  <c:v>1381103.1500000001</c:v>
                </c:pt>
                <c:pt idx="8">
                  <c:v>518937.17</c:v>
                </c:pt>
                <c:pt idx="9">
                  <c:v>1720590.6649999998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B3-4EB8-B0BD-60D5DC0B458E}"/>
            </c:ext>
          </c:extLst>
        </c:ser>
        <c:ser>
          <c:idx val="2"/>
          <c:order val="2"/>
          <c:tx>
            <c:strRef>
              <c:f>Sheet17!$D$3</c:f>
              <c:strCache>
                <c:ptCount val="1"/>
                <c:pt idx="0">
                  <c:v>Sum of COGS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Sheet17!$A$4:$A$19</c:f>
              <c:multiLvlStrCache>
                <c:ptCount val="10"/>
                <c:lvl>
                  <c:pt idx="0">
                    <c:v>2013</c:v>
                  </c:pt>
                  <c:pt idx="1">
                    <c:v>2014</c:v>
                  </c:pt>
                  <c:pt idx="2">
                    <c:v>2013</c:v>
                  </c:pt>
                  <c:pt idx="3">
                    <c:v>2014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2014</c:v>
                  </c:pt>
                  <c:pt idx="8">
                    <c:v>2013</c:v>
                  </c:pt>
                  <c:pt idx="9">
                    <c:v>2014</c:v>
                  </c:pt>
                </c:lvl>
                <c:lvl>
                  <c:pt idx="0">
                    <c:v>Canada</c:v>
                  </c:pt>
                  <c:pt idx="2">
                    <c:v>France</c:v>
                  </c:pt>
                  <c:pt idx="4">
                    <c:v>Germany</c:v>
                  </c:pt>
                  <c:pt idx="6">
                    <c:v>Mexico</c:v>
                  </c:pt>
                  <c:pt idx="8">
                    <c:v>United States of America</c:v>
                  </c:pt>
                </c:lvl>
              </c:multiLvlStrCache>
            </c:multiLvlStrRef>
          </c:cat>
          <c:val>
            <c:numRef>
              <c:f>Sheet17!$D$4:$D$19</c:f>
              <c:numCache>
                <c:formatCode>General</c:formatCode>
                <c:ptCount val="10"/>
                <c:pt idx="0">
                  <c:v>4372217</c:v>
                </c:pt>
                <c:pt idx="1">
                  <c:v>16986209</c:v>
                </c:pt>
                <c:pt idx="2">
                  <c:v>4321463</c:v>
                </c:pt>
                <c:pt idx="3">
                  <c:v>16251688.5</c:v>
                </c:pt>
                <c:pt idx="4">
                  <c:v>5109516</c:v>
                </c:pt>
                <c:pt idx="5">
                  <c:v>14715436</c:v>
                </c:pt>
                <c:pt idx="6">
                  <c:v>4161751</c:v>
                </c:pt>
                <c:pt idx="7">
                  <c:v>13880078</c:v>
                </c:pt>
                <c:pt idx="8">
                  <c:v>4571844</c:v>
                </c:pt>
                <c:pt idx="9">
                  <c:v>17462445.5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B3-4EB8-B0BD-60D5DC0B4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796240"/>
        <c:axId val="597802800"/>
      </c:lineChart>
      <c:catAx>
        <c:axId val="5977962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02800"/>
        <c:crosses val="autoZero"/>
        <c:auto val="1"/>
        <c:lblAlgn val="ctr"/>
        <c:lblOffset val="100"/>
        <c:noMultiLvlLbl val="0"/>
      </c:catAx>
      <c:valAx>
        <c:axId val="5978028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[Western Countries Financial Data vishal pathak project.xlsx]sum of profit by segment and ye!PivotTable1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of profit by segment and ye'!$B$3:$B$5</c:f>
              <c:strCache>
                <c:ptCount val="1"/>
                <c:pt idx="0">
                  <c:v>2013 - Sum of  Sales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'sum of profit by segment and ye'!$A$6:$A$11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'sum of profit by segment and ye'!$B$6:$B$11</c:f>
              <c:numCache>
                <c:formatCode>General</c:formatCode>
                <c:ptCount val="5"/>
                <c:pt idx="0">
                  <c:v>398090.27999999997</c:v>
                </c:pt>
                <c:pt idx="1">
                  <c:v>4049562.5</c:v>
                </c:pt>
                <c:pt idx="2">
                  <c:v>13085685.280000003</c:v>
                </c:pt>
                <c:pt idx="3">
                  <c:v>546243.44999999995</c:v>
                </c:pt>
                <c:pt idx="4">
                  <c:v>8335674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3-40ED-B202-ED7CC021A85F}"/>
            </c:ext>
          </c:extLst>
        </c:ser>
        <c:ser>
          <c:idx val="1"/>
          <c:order val="1"/>
          <c:tx>
            <c:strRef>
              <c:f>'sum of profit by segment and ye'!$C$3:$C$5</c:f>
              <c:strCache>
                <c:ptCount val="1"/>
                <c:pt idx="0">
                  <c:v>2013 - Sum of Profit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'sum of profit by segment and ye'!$A$6:$A$11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'sum of profit by segment and ye'!$C$6:$C$11</c:f>
              <c:numCache>
                <c:formatCode>General</c:formatCode>
                <c:ptCount val="5"/>
                <c:pt idx="0">
                  <c:v>289889.27999999997</c:v>
                </c:pt>
                <c:pt idx="1">
                  <c:v>-193757.5</c:v>
                </c:pt>
                <c:pt idx="2">
                  <c:v>2886645.2799999993</c:v>
                </c:pt>
                <c:pt idx="3">
                  <c:v>151763.45000000001</c:v>
                </c:pt>
                <c:pt idx="4">
                  <c:v>743924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43-40ED-B202-ED7CC021A85F}"/>
            </c:ext>
          </c:extLst>
        </c:ser>
        <c:ser>
          <c:idx val="2"/>
          <c:order val="2"/>
          <c:tx>
            <c:strRef>
              <c:f>'sum of profit by segment and ye'!$D$3:$D$5</c:f>
              <c:strCache>
                <c:ptCount val="1"/>
                <c:pt idx="0">
                  <c:v>2014 - Sum of  Sales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'sum of profit by segment and ye'!$A$6:$A$11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'sum of profit by segment and ye'!$D$6:$D$11</c:f>
              <c:numCache>
                <c:formatCode>General</c:formatCode>
                <c:ptCount val="5"/>
                <c:pt idx="0">
                  <c:v>1402503.3599999996</c:v>
                </c:pt>
                <c:pt idx="1">
                  <c:v>15562131.875</c:v>
                </c:pt>
                <c:pt idx="2">
                  <c:v>39418575.39000003</c:v>
                </c:pt>
                <c:pt idx="3">
                  <c:v>1835639.625</c:v>
                </c:pt>
                <c:pt idx="4">
                  <c:v>34092244.5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43-40ED-B202-ED7CC021A85F}"/>
            </c:ext>
          </c:extLst>
        </c:ser>
        <c:ser>
          <c:idx val="3"/>
          <c:order val="3"/>
          <c:tx>
            <c:strRef>
              <c:f>'sum of profit by segment and ye'!$E$3:$E$5</c:f>
              <c:strCache>
                <c:ptCount val="1"/>
                <c:pt idx="0">
                  <c:v>2014 - Sum of Profit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'sum of profit by segment and ye'!$A$6:$A$11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'sum of profit by segment and ye'!$E$6:$E$11</c:f>
              <c:numCache>
                <c:formatCode>General</c:formatCode>
                <c:ptCount val="5"/>
                <c:pt idx="0">
                  <c:v>1026913.8600000001</c:v>
                </c:pt>
                <c:pt idx="1">
                  <c:v>-420788.125</c:v>
                </c:pt>
                <c:pt idx="2">
                  <c:v>8501527.8899999931</c:v>
                </c:pt>
                <c:pt idx="3">
                  <c:v>508339.625</c:v>
                </c:pt>
                <c:pt idx="4">
                  <c:v>3399244.5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43-40ED-B202-ED7CC021A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05200624"/>
        <c:axId val="405202920"/>
      </c:barChart>
      <c:catAx>
        <c:axId val="4052006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202920"/>
        <c:crosses val="autoZero"/>
        <c:auto val="1"/>
        <c:lblAlgn val="ctr"/>
        <c:lblOffset val="100"/>
        <c:noMultiLvlLbl val="0"/>
      </c:catAx>
      <c:valAx>
        <c:axId val="4052029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20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[Western Countries Financial Data vishal pathak project.xlsx]Sheet9!PivotTable2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Min of COGS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Sheet9!$A$4:$A$9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Sheet9!$B$4:$B$9</c:f>
              <c:numCache>
                <c:formatCode>General</c:formatCode>
                <c:ptCount val="5"/>
                <c:pt idx="0">
                  <c:v>1285</c:v>
                </c:pt>
                <c:pt idx="1">
                  <c:v>918</c:v>
                </c:pt>
                <c:pt idx="2">
                  <c:v>1101</c:v>
                </c:pt>
                <c:pt idx="3">
                  <c:v>1101</c:v>
                </c:pt>
                <c:pt idx="4">
                  <c:v>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B-4FD2-B4C4-FD01B325033A}"/>
            </c:ext>
          </c:extLst>
        </c:ser>
        <c:ser>
          <c:idx val="1"/>
          <c:order val="1"/>
          <c:tx>
            <c:strRef>
              <c:f>Sheet9!$C$3</c:f>
              <c:strCache>
                <c:ptCount val="1"/>
                <c:pt idx="0">
                  <c:v>Count of Year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Sheet9!$A$4:$A$9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Sheet9!$C$4:$C$9</c:f>
              <c:numCache>
                <c:formatCode>General</c:formatCode>
                <c:ptCount val="5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140</c:v>
                </c:pt>
                <c:pt idx="4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9B-4FD2-B4C4-FD01B325033A}"/>
            </c:ext>
          </c:extLst>
        </c:ser>
        <c:ser>
          <c:idx val="2"/>
          <c:order val="2"/>
          <c:tx>
            <c:strRef>
              <c:f>Sheet9!$D$3</c:f>
              <c:strCache>
                <c:ptCount val="1"/>
                <c:pt idx="0">
                  <c:v>Min of  Sales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Sheet9!$A$4:$A$9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Sheet9!$D$4:$D$9</c:f>
              <c:numCache>
                <c:formatCode>General</c:formatCode>
                <c:ptCount val="5"/>
                <c:pt idx="0">
                  <c:v>1655.08</c:v>
                </c:pt>
                <c:pt idx="1">
                  <c:v>1763.8600000000001</c:v>
                </c:pt>
                <c:pt idx="2">
                  <c:v>1685.6</c:v>
                </c:pt>
                <c:pt idx="3">
                  <c:v>2508.66</c:v>
                </c:pt>
                <c:pt idx="4">
                  <c:v>1730.54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9B-4FD2-B4C4-FD01B325033A}"/>
            </c:ext>
          </c:extLst>
        </c:ser>
        <c:ser>
          <c:idx val="3"/>
          <c:order val="3"/>
          <c:tx>
            <c:strRef>
              <c:f>Sheet9!$E$3</c:f>
              <c:strCache>
                <c:ptCount val="1"/>
                <c:pt idx="0">
                  <c:v>Average of Discounts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Sheet9!$A$4:$A$9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Sheet9!$E$4:$E$9</c:f>
              <c:numCache>
                <c:formatCode>General</c:formatCode>
                <c:ptCount val="5"/>
                <c:pt idx="0">
                  <c:v>14603.632964285713</c:v>
                </c:pt>
                <c:pt idx="1">
                  <c:v>12339.30157142857</c:v>
                </c:pt>
                <c:pt idx="2">
                  <c:v>10115.190571428571</c:v>
                </c:pt>
                <c:pt idx="3">
                  <c:v>12697.020642857144</c:v>
                </c:pt>
                <c:pt idx="4">
                  <c:v>15996.627392857143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9B-4FD2-B4C4-FD01B325033A}"/>
            </c:ext>
          </c:extLst>
        </c:ser>
        <c:ser>
          <c:idx val="4"/>
          <c:order val="4"/>
          <c:tx>
            <c:strRef>
              <c:f>Sheet9!$F$3</c:f>
              <c:strCache>
                <c:ptCount val="1"/>
                <c:pt idx="0">
                  <c:v>Average of Profit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Sheet9!$A$4:$A$9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Sheet9!$F$4:$F$9</c:f>
              <c:numCache>
                <c:formatCode>General</c:formatCode>
                <c:ptCount val="5"/>
                <c:pt idx="0">
                  <c:v>25208.777750000001</c:v>
                </c:pt>
                <c:pt idx="1">
                  <c:v>27007.291285714291</c:v>
                </c:pt>
                <c:pt idx="2">
                  <c:v>26288.491571428578</c:v>
                </c:pt>
                <c:pt idx="3">
                  <c:v>20768.022214285716</c:v>
                </c:pt>
                <c:pt idx="4">
                  <c:v>21396.719035714279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9B-4FD2-B4C4-FD01B325033A}"/>
            </c:ext>
          </c:extLst>
        </c:ser>
        <c:ser>
          <c:idx val="5"/>
          <c:order val="5"/>
          <c:tx>
            <c:strRef>
              <c:f>Sheet9!$G$3</c:f>
              <c:strCache>
                <c:ptCount val="1"/>
                <c:pt idx="0">
                  <c:v>Min of Sale Price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Sheet9!$A$4:$A$9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Sheet9!$G$4:$G$9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9B-4FD2-B4C4-FD01B3250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2812968"/>
        <c:axId val="472813296"/>
        <c:axId val="0"/>
      </c:bar3DChart>
      <c:catAx>
        <c:axId val="47281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813296"/>
        <c:crosses val="autoZero"/>
        <c:auto val="1"/>
        <c:lblAlgn val="ctr"/>
        <c:lblOffset val="100"/>
        <c:noMultiLvlLbl val="0"/>
      </c:catAx>
      <c:valAx>
        <c:axId val="47281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812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[Western Countries Financial Data vishal pathak project.xlsx]Sheet9!PivotTable2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Min of COGS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Sheet9!$A$4:$A$9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Sheet9!$B$4:$B$9</c:f>
              <c:numCache>
                <c:formatCode>General</c:formatCode>
                <c:ptCount val="5"/>
                <c:pt idx="0">
                  <c:v>1285</c:v>
                </c:pt>
                <c:pt idx="1">
                  <c:v>918</c:v>
                </c:pt>
                <c:pt idx="2">
                  <c:v>1101</c:v>
                </c:pt>
                <c:pt idx="3">
                  <c:v>1101</c:v>
                </c:pt>
                <c:pt idx="4">
                  <c:v>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A-46C1-902C-D3BF7A51AEFB}"/>
            </c:ext>
          </c:extLst>
        </c:ser>
        <c:ser>
          <c:idx val="1"/>
          <c:order val="1"/>
          <c:tx>
            <c:strRef>
              <c:f>Sheet9!$C$3</c:f>
              <c:strCache>
                <c:ptCount val="1"/>
                <c:pt idx="0">
                  <c:v>Count of Year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Sheet9!$A$4:$A$9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Sheet9!$C$4:$C$9</c:f>
              <c:numCache>
                <c:formatCode>General</c:formatCode>
                <c:ptCount val="5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140</c:v>
                </c:pt>
                <c:pt idx="4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A-46C1-902C-D3BF7A51AEFB}"/>
            </c:ext>
          </c:extLst>
        </c:ser>
        <c:ser>
          <c:idx val="2"/>
          <c:order val="2"/>
          <c:tx>
            <c:strRef>
              <c:f>Sheet9!$D$3</c:f>
              <c:strCache>
                <c:ptCount val="1"/>
                <c:pt idx="0">
                  <c:v>Min of  Sales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Sheet9!$A$4:$A$9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Sheet9!$D$4:$D$9</c:f>
              <c:numCache>
                <c:formatCode>General</c:formatCode>
                <c:ptCount val="5"/>
                <c:pt idx="0">
                  <c:v>1655.08</c:v>
                </c:pt>
                <c:pt idx="1">
                  <c:v>1763.8600000000001</c:v>
                </c:pt>
                <c:pt idx="2">
                  <c:v>1685.6</c:v>
                </c:pt>
                <c:pt idx="3">
                  <c:v>2508.66</c:v>
                </c:pt>
                <c:pt idx="4">
                  <c:v>1730.54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1A-46C1-902C-D3BF7A51AEFB}"/>
            </c:ext>
          </c:extLst>
        </c:ser>
        <c:ser>
          <c:idx val="3"/>
          <c:order val="3"/>
          <c:tx>
            <c:strRef>
              <c:f>Sheet9!$E$3</c:f>
              <c:strCache>
                <c:ptCount val="1"/>
                <c:pt idx="0">
                  <c:v>Average of Discounts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Sheet9!$A$4:$A$9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Sheet9!$E$4:$E$9</c:f>
              <c:numCache>
                <c:formatCode>General</c:formatCode>
                <c:ptCount val="5"/>
                <c:pt idx="0">
                  <c:v>14603.632964285713</c:v>
                </c:pt>
                <c:pt idx="1">
                  <c:v>12339.30157142857</c:v>
                </c:pt>
                <c:pt idx="2">
                  <c:v>10115.190571428571</c:v>
                </c:pt>
                <c:pt idx="3">
                  <c:v>12697.020642857144</c:v>
                </c:pt>
                <c:pt idx="4">
                  <c:v>15996.627392857143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1A-46C1-902C-D3BF7A51AEFB}"/>
            </c:ext>
          </c:extLst>
        </c:ser>
        <c:ser>
          <c:idx val="4"/>
          <c:order val="4"/>
          <c:tx>
            <c:strRef>
              <c:f>Sheet9!$F$3</c:f>
              <c:strCache>
                <c:ptCount val="1"/>
                <c:pt idx="0">
                  <c:v>Average of Profit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Sheet9!$A$4:$A$9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Sheet9!$F$4:$F$9</c:f>
              <c:numCache>
                <c:formatCode>General</c:formatCode>
                <c:ptCount val="5"/>
                <c:pt idx="0">
                  <c:v>25208.777750000001</c:v>
                </c:pt>
                <c:pt idx="1">
                  <c:v>27007.291285714291</c:v>
                </c:pt>
                <c:pt idx="2">
                  <c:v>26288.491571428578</c:v>
                </c:pt>
                <c:pt idx="3">
                  <c:v>20768.022214285716</c:v>
                </c:pt>
                <c:pt idx="4">
                  <c:v>21396.719035714279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1A-46C1-902C-D3BF7A51AEFB}"/>
            </c:ext>
          </c:extLst>
        </c:ser>
        <c:ser>
          <c:idx val="5"/>
          <c:order val="5"/>
          <c:tx>
            <c:strRef>
              <c:f>Sheet9!$G$3</c:f>
              <c:strCache>
                <c:ptCount val="1"/>
                <c:pt idx="0">
                  <c:v>Min of Sale Price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Sheet9!$A$4:$A$9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Sheet9!$G$4:$G$9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1A-46C1-902C-D3BF7A51A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2812968"/>
        <c:axId val="472813296"/>
        <c:axId val="0"/>
      </c:bar3DChart>
      <c:catAx>
        <c:axId val="47281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813296"/>
        <c:crosses val="autoZero"/>
        <c:auto val="1"/>
        <c:lblAlgn val="ctr"/>
        <c:lblOffset val="100"/>
        <c:noMultiLvlLbl val="0"/>
      </c:catAx>
      <c:valAx>
        <c:axId val="47281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812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[Western Countries Financial Data vishal pathak project.xlsx]sum of profit by segment and ye!PivotTable1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1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1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of profit by segment and ye'!$B$3:$B$5</c:f>
              <c:strCache>
                <c:ptCount val="1"/>
                <c:pt idx="0">
                  <c:v>2013 - Sum of  Sales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'sum of profit by segment and ye'!$A$6:$A$11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'sum of profit by segment and ye'!$B$6:$B$11</c:f>
              <c:numCache>
                <c:formatCode>General</c:formatCode>
                <c:ptCount val="5"/>
                <c:pt idx="0">
                  <c:v>398090.27999999997</c:v>
                </c:pt>
                <c:pt idx="1">
                  <c:v>4049562.5</c:v>
                </c:pt>
                <c:pt idx="2">
                  <c:v>13085685.280000003</c:v>
                </c:pt>
                <c:pt idx="3">
                  <c:v>546243.44999999995</c:v>
                </c:pt>
                <c:pt idx="4">
                  <c:v>8335674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E-4401-8202-1A9868AE3F2A}"/>
            </c:ext>
          </c:extLst>
        </c:ser>
        <c:ser>
          <c:idx val="1"/>
          <c:order val="1"/>
          <c:tx>
            <c:strRef>
              <c:f>'sum of profit by segment and ye'!$C$3:$C$5</c:f>
              <c:strCache>
                <c:ptCount val="1"/>
                <c:pt idx="0">
                  <c:v>2013 - Sum of Profit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'sum of profit by segment and ye'!$A$6:$A$11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'sum of profit by segment and ye'!$C$6:$C$11</c:f>
              <c:numCache>
                <c:formatCode>General</c:formatCode>
                <c:ptCount val="5"/>
                <c:pt idx="0">
                  <c:v>289889.27999999997</c:v>
                </c:pt>
                <c:pt idx="1">
                  <c:v>-193757.5</c:v>
                </c:pt>
                <c:pt idx="2">
                  <c:v>2886645.2799999993</c:v>
                </c:pt>
                <c:pt idx="3">
                  <c:v>151763.45000000001</c:v>
                </c:pt>
                <c:pt idx="4">
                  <c:v>743924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DE-4401-8202-1A9868AE3F2A}"/>
            </c:ext>
          </c:extLst>
        </c:ser>
        <c:ser>
          <c:idx val="2"/>
          <c:order val="2"/>
          <c:tx>
            <c:strRef>
              <c:f>'sum of profit by segment and ye'!$D$3:$D$5</c:f>
              <c:strCache>
                <c:ptCount val="1"/>
                <c:pt idx="0">
                  <c:v>2014 - Sum of  Sales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'sum of profit by segment and ye'!$A$6:$A$11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'sum of profit by segment and ye'!$D$6:$D$11</c:f>
              <c:numCache>
                <c:formatCode>General</c:formatCode>
                <c:ptCount val="5"/>
                <c:pt idx="0">
                  <c:v>1402503.3599999996</c:v>
                </c:pt>
                <c:pt idx="1">
                  <c:v>15562131.875</c:v>
                </c:pt>
                <c:pt idx="2">
                  <c:v>39418575.39000003</c:v>
                </c:pt>
                <c:pt idx="3">
                  <c:v>1835639.625</c:v>
                </c:pt>
                <c:pt idx="4">
                  <c:v>34092244.5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DE-4401-8202-1A9868AE3F2A}"/>
            </c:ext>
          </c:extLst>
        </c:ser>
        <c:ser>
          <c:idx val="3"/>
          <c:order val="3"/>
          <c:tx>
            <c:strRef>
              <c:f>'sum of profit by segment and ye'!$E$3:$E$5</c:f>
              <c:strCache>
                <c:ptCount val="1"/>
                <c:pt idx="0">
                  <c:v>2014 - Sum of Profit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'sum of profit by segment and ye'!$A$6:$A$11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'sum of profit by segment and ye'!$E$6:$E$11</c:f>
              <c:numCache>
                <c:formatCode>General</c:formatCode>
                <c:ptCount val="5"/>
                <c:pt idx="0">
                  <c:v>1026913.8600000001</c:v>
                </c:pt>
                <c:pt idx="1">
                  <c:v>-420788.125</c:v>
                </c:pt>
                <c:pt idx="2">
                  <c:v>8501527.8899999931</c:v>
                </c:pt>
                <c:pt idx="3">
                  <c:v>508339.625</c:v>
                </c:pt>
                <c:pt idx="4">
                  <c:v>3399244.5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DE-4401-8202-1A9868AE3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05200624"/>
        <c:axId val="405202920"/>
      </c:barChart>
      <c:catAx>
        <c:axId val="4052006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202920"/>
        <c:crosses val="autoZero"/>
        <c:auto val="1"/>
        <c:lblAlgn val="ctr"/>
        <c:lblOffset val="100"/>
        <c:noMultiLvlLbl val="0"/>
      </c:catAx>
      <c:valAx>
        <c:axId val="4052029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20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[Western Countries Financial Data vishal pathak project.xlsx]Sheet17!PivotTable12</c:name>
    <c:fmtId val="4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  <c:pivotFmt>
        <c:idx val="1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  <c:pivotFmt>
        <c:idx val="1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  <c:pivotFmt>
        <c:idx val="1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  <c:pivotFmt>
        <c:idx val="1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6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  <c:pivotFmt>
        <c:idx val="17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Sheet17!$B$3</c:f>
              <c:strCache>
                <c:ptCount val="1"/>
                <c:pt idx="0">
                  <c:v>Sum of  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Sheet17!$A$4:$A$19</c:f>
              <c:multiLvlStrCache>
                <c:ptCount val="10"/>
                <c:lvl>
                  <c:pt idx="0">
                    <c:v>2013</c:v>
                  </c:pt>
                  <c:pt idx="1">
                    <c:v>2014</c:v>
                  </c:pt>
                  <c:pt idx="2">
                    <c:v>2013</c:v>
                  </c:pt>
                  <c:pt idx="3">
                    <c:v>2014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2014</c:v>
                  </c:pt>
                  <c:pt idx="8">
                    <c:v>2013</c:v>
                  </c:pt>
                  <c:pt idx="9">
                    <c:v>2014</c:v>
                  </c:pt>
                </c:lvl>
                <c:lvl>
                  <c:pt idx="0">
                    <c:v>Canada</c:v>
                  </c:pt>
                  <c:pt idx="2">
                    <c:v>France</c:v>
                  </c:pt>
                  <c:pt idx="4">
                    <c:v>Germany</c:v>
                  </c:pt>
                  <c:pt idx="6">
                    <c:v>Mexico</c:v>
                  </c:pt>
                  <c:pt idx="8">
                    <c:v>United States of America</c:v>
                  </c:pt>
                </c:lvl>
              </c:multiLvlStrCache>
            </c:multiLvlStrRef>
          </c:cat>
          <c:val>
            <c:numRef>
              <c:f>Sheet17!$B$4:$B$19</c:f>
              <c:numCache>
                <c:formatCode>General</c:formatCode>
                <c:ptCount val="10"/>
                <c:pt idx="0">
                  <c:v>5175888.78</c:v>
                </c:pt>
                <c:pt idx="1">
                  <c:v>19711766.105</c:v>
                </c:pt>
                <c:pt idx="2">
                  <c:v>5132795.17</c:v>
                </c:pt>
                <c:pt idx="3">
                  <c:v>19221377.110000007</c:v>
                </c:pt>
                <c:pt idx="4">
                  <c:v>6227735.4699999988</c:v>
                </c:pt>
                <c:pt idx="5">
                  <c:v>17277605.350000001</c:v>
                </c:pt>
                <c:pt idx="6">
                  <c:v>4754421.26</c:v>
                </c:pt>
                <c:pt idx="7">
                  <c:v>16194930.85</c:v>
                </c:pt>
                <c:pt idx="8">
                  <c:v>5124414.83</c:v>
                </c:pt>
                <c:pt idx="9">
                  <c:v>19905415.335000005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D-4493-AB8B-15E326E1A254}"/>
            </c:ext>
          </c:extLst>
        </c:ser>
        <c:ser>
          <c:idx val="1"/>
          <c:order val="1"/>
          <c:tx>
            <c:strRef>
              <c:f>Sheet17!$C$3</c:f>
              <c:strCache>
                <c:ptCount val="1"/>
                <c:pt idx="0">
                  <c:v>Sum of Discounts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Sheet17!$A$4:$A$19</c:f>
              <c:multiLvlStrCache>
                <c:ptCount val="10"/>
                <c:lvl>
                  <c:pt idx="0">
                    <c:v>2013</c:v>
                  </c:pt>
                  <c:pt idx="1">
                    <c:v>2014</c:v>
                  </c:pt>
                  <c:pt idx="2">
                    <c:v>2013</c:v>
                  </c:pt>
                  <c:pt idx="3">
                    <c:v>2014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2014</c:v>
                  </c:pt>
                  <c:pt idx="8">
                    <c:v>2013</c:v>
                  </c:pt>
                  <c:pt idx="9">
                    <c:v>2014</c:v>
                  </c:pt>
                </c:lvl>
                <c:lvl>
                  <c:pt idx="0">
                    <c:v>Canada</c:v>
                  </c:pt>
                  <c:pt idx="2">
                    <c:v>France</c:v>
                  </c:pt>
                  <c:pt idx="4">
                    <c:v>Germany</c:v>
                  </c:pt>
                  <c:pt idx="6">
                    <c:v>Mexico</c:v>
                  </c:pt>
                  <c:pt idx="8">
                    <c:v>United States of America</c:v>
                  </c:pt>
                </c:lvl>
              </c:multiLvlStrCache>
            </c:multiLvlStrRef>
          </c:cat>
          <c:val>
            <c:numRef>
              <c:f>Sheet17!$C$4:$C$19</c:f>
              <c:numCache>
                <c:formatCode>General</c:formatCode>
                <c:ptCount val="10"/>
                <c:pt idx="0">
                  <c:v>379497.22000000003</c:v>
                </c:pt>
                <c:pt idx="1">
                  <c:v>1665011.3949999998</c:v>
                </c:pt>
                <c:pt idx="2">
                  <c:v>448087.82999999996</c:v>
                </c:pt>
                <c:pt idx="3">
                  <c:v>1279414.3899999997</c:v>
                </c:pt>
                <c:pt idx="4">
                  <c:v>402529.53</c:v>
                </c:pt>
                <c:pt idx="5">
                  <c:v>1013597.1500000005</c:v>
                </c:pt>
                <c:pt idx="6">
                  <c:v>396479.74000000005</c:v>
                </c:pt>
                <c:pt idx="7">
                  <c:v>1381103.1500000001</c:v>
                </c:pt>
                <c:pt idx="8">
                  <c:v>518937.17</c:v>
                </c:pt>
                <c:pt idx="9">
                  <c:v>1720590.6649999998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BD-4493-AB8B-15E326E1A254}"/>
            </c:ext>
          </c:extLst>
        </c:ser>
        <c:ser>
          <c:idx val="2"/>
          <c:order val="2"/>
          <c:tx>
            <c:strRef>
              <c:f>Sheet17!$D$3</c:f>
              <c:strCache>
                <c:ptCount val="1"/>
                <c:pt idx="0">
                  <c:v>Sum of COGS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Sheet17!$A$4:$A$19</c:f>
              <c:multiLvlStrCache>
                <c:ptCount val="10"/>
                <c:lvl>
                  <c:pt idx="0">
                    <c:v>2013</c:v>
                  </c:pt>
                  <c:pt idx="1">
                    <c:v>2014</c:v>
                  </c:pt>
                  <c:pt idx="2">
                    <c:v>2013</c:v>
                  </c:pt>
                  <c:pt idx="3">
                    <c:v>2014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2014</c:v>
                  </c:pt>
                  <c:pt idx="8">
                    <c:v>2013</c:v>
                  </c:pt>
                  <c:pt idx="9">
                    <c:v>2014</c:v>
                  </c:pt>
                </c:lvl>
                <c:lvl>
                  <c:pt idx="0">
                    <c:v>Canada</c:v>
                  </c:pt>
                  <c:pt idx="2">
                    <c:v>France</c:v>
                  </c:pt>
                  <c:pt idx="4">
                    <c:v>Germany</c:v>
                  </c:pt>
                  <c:pt idx="6">
                    <c:v>Mexico</c:v>
                  </c:pt>
                  <c:pt idx="8">
                    <c:v>United States of America</c:v>
                  </c:pt>
                </c:lvl>
              </c:multiLvlStrCache>
            </c:multiLvlStrRef>
          </c:cat>
          <c:val>
            <c:numRef>
              <c:f>Sheet17!$D$4:$D$19</c:f>
              <c:numCache>
                <c:formatCode>General</c:formatCode>
                <c:ptCount val="10"/>
                <c:pt idx="0">
                  <c:v>4372217</c:v>
                </c:pt>
                <c:pt idx="1">
                  <c:v>16986209</c:v>
                </c:pt>
                <c:pt idx="2">
                  <c:v>4321463</c:v>
                </c:pt>
                <c:pt idx="3">
                  <c:v>16251688.5</c:v>
                </c:pt>
                <c:pt idx="4">
                  <c:v>5109516</c:v>
                </c:pt>
                <c:pt idx="5">
                  <c:v>14715436</c:v>
                </c:pt>
                <c:pt idx="6">
                  <c:v>4161751</c:v>
                </c:pt>
                <c:pt idx="7">
                  <c:v>13880078</c:v>
                </c:pt>
                <c:pt idx="8">
                  <c:v>4571844</c:v>
                </c:pt>
                <c:pt idx="9">
                  <c:v>17462445.5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BD-4493-AB8B-15E326E1A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796240"/>
        <c:axId val="597802800"/>
      </c:lineChart>
      <c:catAx>
        <c:axId val="5977962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02800"/>
        <c:crosses val="autoZero"/>
        <c:auto val="1"/>
        <c:lblAlgn val="ctr"/>
        <c:lblOffset val="100"/>
        <c:noMultiLvlLbl val="0"/>
      </c:catAx>
      <c:valAx>
        <c:axId val="5978028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[Western Countries Financial Data vishal pathak project.xlsx]Sheet6!PivotTable1</c:name>
    <c:fmtId val="3"/>
  </c:pivotSource>
  <c:chart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Sheet6!$C$3:$C$4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Sheet6!$C$5:$C$11</c:f>
              <c:numCache>
                <c:formatCode>General</c:formatCode>
                <c:ptCount val="6"/>
                <c:pt idx="0">
                  <c:v>2032154.5299999998</c:v>
                </c:pt>
                <c:pt idx="1">
                  <c:v>1788036.0250000004</c:v>
                </c:pt>
                <c:pt idx="2">
                  <c:v>1656996.84</c:v>
                </c:pt>
                <c:pt idx="3">
                  <c:v>3697584.8600000003</c:v>
                </c:pt>
                <c:pt idx="4">
                  <c:v>1684042.7049999996</c:v>
                </c:pt>
                <c:pt idx="5">
                  <c:v>2156422.790000001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D-4404-B45F-2736762BA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10330848"/>
        <c:axId val="410335768"/>
      </c:barChart>
      <c:lineChart>
        <c:grouping val="standar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2013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Sheet6!$A$5:$A$11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Sheet6!$B$5:$B$11</c:f>
              <c:numCache>
                <c:formatCode>General</c:formatCode>
                <c:ptCount val="6"/>
                <c:pt idx="0">
                  <c:v>781949.53</c:v>
                </c:pt>
                <c:pt idx="1">
                  <c:v>38768.86</c:v>
                </c:pt>
                <c:pt idx="2">
                  <c:v>457758.03999999986</c:v>
                </c:pt>
                <c:pt idx="3">
                  <c:v>1099853.0899999999</c:v>
                </c:pt>
                <c:pt idx="4">
                  <c:v>621949.76</c:v>
                </c:pt>
                <c:pt idx="5">
                  <c:v>878185.2300000001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ED-4404-B45F-2736762BA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452144"/>
        <c:axId val="356434760"/>
      </c:lineChart>
      <c:catAx>
        <c:axId val="41033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35768"/>
        <c:crosses val="autoZero"/>
        <c:auto val="1"/>
        <c:lblAlgn val="ctr"/>
        <c:lblOffset val="100"/>
        <c:noMultiLvlLbl val="0"/>
      </c:catAx>
      <c:valAx>
        <c:axId val="41033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30848"/>
        <c:crosses val="autoZero"/>
        <c:crossBetween val="between"/>
      </c:valAx>
      <c:valAx>
        <c:axId val="3564347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52144"/>
        <c:crosses val="max"/>
        <c:crossBetween val="between"/>
      </c:valAx>
      <c:catAx>
        <c:axId val="356452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6434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[Western Countries Financial Data vishal pathak project.xlsx]year wise profit and unit sold!PivotTable11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 wise profit and unit sold'!$B$3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multiLvlStrRef>
              <c:f>'year wise profit and unit sold'!$A$4:$A$19</c:f>
              <c:multiLvlStrCache>
                <c:ptCount val="10"/>
                <c:lvl>
                  <c:pt idx="0">
                    <c:v>2013</c:v>
                  </c:pt>
                  <c:pt idx="1">
                    <c:v>2014</c:v>
                  </c:pt>
                  <c:pt idx="2">
                    <c:v>2013</c:v>
                  </c:pt>
                  <c:pt idx="3">
                    <c:v>2014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2014</c:v>
                  </c:pt>
                  <c:pt idx="8">
                    <c:v>2013</c:v>
                  </c:pt>
                  <c:pt idx="9">
                    <c:v>2014</c:v>
                  </c:pt>
                </c:lvl>
                <c:lvl>
                  <c:pt idx="0">
                    <c:v>Canada</c:v>
                  </c:pt>
                  <c:pt idx="2">
                    <c:v>France</c:v>
                  </c:pt>
                  <c:pt idx="4">
                    <c:v>Germany</c:v>
                  </c:pt>
                  <c:pt idx="6">
                    <c:v>Mexico</c:v>
                  </c:pt>
                  <c:pt idx="8">
                    <c:v>United States of America</c:v>
                  </c:pt>
                </c:lvl>
              </c:multiLvlStrCache>
            </c:multiLvlStrRef>
          </c:cat>
          <c:val>
            <c:numRef>
              <c:f>'year wise profit and unit sold'!$B$4:$B$19</c:f>
              <c:numCache>
                <c:formatCode>General</c:formatCode>
                <c:ptCount val="10"/>
                <c:pt idx="0">
                  <c:v>803671.7799999998</c:v>
                </c:pt>
                <c:pt idx="1">
                  <c:v>2725557.1049999995</c:v>
                </c:pt>
                <c:pt idx="2">
                  <c:v>811332.17</c:v>
                </c:pt>
                <c:pt idx="3">
                  <c:v>2969688.6099999994</c:v>
                </c:pt>
                <c:pt idx="4">
                  <c:v>1118219.4700000002</c:v>
                </c:pt>
                <c:pt idx="5">
                  <c:v>2562169.3500000024</c:v>
                </c:pt>
                <c:pt idx="6">
                  <c:v>592670.26000000013</c:v>
                </c:pt>
                <c:pt idx="7">
                  <c:v>2314852.8499999992</c:v>
                </c:pt>
                <c:pt idx="8">
                  <c:v>552570.82999999996</c:v>
                </c:pt>
                <c:pt idx="9">
                  <c:v>2442969.835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9-460F-B6F5-4ACFCC548839}"/>
            </c:ext>
          </c:extLst>
        </c:ser>
        <c:ser>
          <c:idx val="1"/>
          <c:order val="1"/>
          <c:tx>
            <c:strRef>
              <c:f>'year wise profit and unit sold'!$C$3</c:f>
              <c:strCache>
                <c:ptCount val="1"/>
                <c:pt idx="0">
                  <c:v>Sum of Units 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multiLvlStrRef>
              <c:f>'year wise profit and unit sold'!$A$4:$A$19</c:f>
              <c:multiLvlStrCache>
                <c:ptCount val="10"/>
                <c:lvl>
                  <c:pt idx="0">
                    <c:v>2013</c:v>
                  </c:pt>
                  <c:pt idx="1">
                    <c:v>2014</c:v>
                  </c:pt>
                  <c:pt idx="2">
                    <c:v>2013</c:v>
                  </c:pt>
                  <c:pt idx="3">
                    <c:v>2014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2013</c:v>
                  </c:pt>
                  <c:pt idx="7">
                    <c:v>2014</c:v>
                  </c:pt>
                  <c:pt idx="8">
                    <c:v>2013</c:v>
                  </c:pt>
                  <c:pt idx="9">
                    <c:v>2014</c:v>
                  </c:pt>
                </c:lvl>
                <c:lvl>
                  <c:pt idx="0">
                    <c:v>Canada</c:v>
                  </c:pt>
                  <c:pt idx="2">
                    <c:v>France</c:v>
                  </c:pt>
                  <c:pt idx="4">
                    <c:v>Germany</c:v>
                  </c:pt>
                  <c:pt idx="6">
                    <c:v>Mexico</c:v>
                  </c:pt>
                  <c:pt idx="8">
                    <c:v>United States of America</c:v>
                  </c:pt>
                </c:lvl>
              </c:multiLvlStrCache>
            </c:multiLvlStrRef>
          </c:cat>
          <c:val>
            <c:numRef>
              <c:f>'year wise profit and unit sold'!$C$4:$C$19</c:f>
              <c:numCache>
                <c:formatCode>General</c:formatCode>
                <c:ptCount val="10"/>
                <c:pt idx="0">
                  <c:v>62291</c:v>
                </c:pt>
                <c:pt idx="1">
                  <c:v>185137.5</c:v>
                </c:pt>
                <c:pt idx="2">
                  <c:v>51326</c:v>
                </c:pt>
                <c:pt idx="3">
                  <c:v>189605</c:v>
                </c:pt>
                <c:pt idx="4">
                  <c:v>54272</c:v>
                </c:pt>
                <c:pt idx="5">
                  <c:v>147222</c:v>
                </c:pt>
                <c:pt idx="6">
                  <c:v>49305</c:v>
                </c:pt>
                <c:pt idx="7">
                  <c:v>154020</c:v>
                </c:pt>
                <c:pt idx="8">
                  <c:v>47480</c:v>
                </c:pt>
                <c:pt idx="9">
                  <c:v>185147.5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C9-460F-B6F5-4ACFCC548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3753296"/>
        <c:axId val="543755264"/>
      </c:barChart>
      <c:catAx>
        <c:axId val="543753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 WISE PROFIT AND UNIT SOLD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55264"/>
        <c:crosses val="autoZero"/>
        <c:auto val="1"/>
        <c:lblAlgn val="ctr"/>
        <c:lblOffset val="100"/>
        <c:noMultiLvlLbl val="0"/>
      </c:catAx>
      <c:valAx>
        <c:axId val="54375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5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[Western Countries Financial Data vishal pathak project.xlsx]Sheet11!PivotTable3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Sum of Sale Price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Sheet11!$A$4:$A$9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Sheet11!$B$4:$B$9</c:f>
              <c:numCache>
                <c:formatCode>General</c:formatCode>
                <c:ptCount val="5"/>
                <c:pt idx="0">
                  <c:v>1200</c:v>
                </c:pt>
                <c:pt idx="1">
                  <c:v>12500</c:v>
                </c:pt>
                <c:pt idx="2">
                  <c:v>37700</c:v>
                </c:pt>
                <c:pt idx="3">
                  <c:v>1500</c:v>
                </c:pt>
                <c:pt idx="4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06-4651-AE7E-BD21464FFEC4}"/>
            </c:ext>
          </c:extLst>
        </c:ser>
        <c:ser>
          <c:idx val="1"/>
          <c:order val="1"/>
          <c:tx>
            <c:strRef>
              <c:f>Sheet11!$C$3</c:f>
              <c:strCache>
                <c:ptCount val="1"/>
                <c:pt idx="0">
                  <c:v>Sum of  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Sheet11!$A$4:$A$9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Sheet11!$C$4:$C$9</c:f>
              <c:numCache>
                <c:formatCode>General</c:formatCode>
                <c:ptCount val="5"/>
                <c:pt idx="0">
                  <c:v>1800593.6399999994</c:v>
                </c:pt>
                <c:pt idx="1">
                  <c:v>19611694.375</c:v>
                </c:pt>
                <c:pt idx="2">
                  <c:v>52504260.670000039</c:v>
                </c:pt>
                <c:pt idx="3">
                  <c:v>2381883.0750000002</c:v>
                </c:pt>
                <c:pt idx="4">
                  <c:v>42427918.5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06-4651-AE7E-BD21464FFEC4}"/>
            </c:ext>
          </c:extLst>
        </c:ser>
        <c:ser>
          <c:idx val="2"/>
          <c:order val="2"/>
          <c:tx>
            <c:strRef>
              <c:f>Sheet11!$D$3</c:f>
              <c:strCache>
                <c:ptCount val="1"/>
                <c:pt idx="0">
                  <c:v>Sum of COGS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Sheet11!$A$4:$A$9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Sheet11!$D$4:$D$9</c:f>
              <c:numCache>
                <c:formatCode>General</c:formatCode>
                <c:ptCount val="5"/>
                <c:pt idx="0">
                  <c:v>483790.5</c:v>
                </c:pt>
                <c:pt idx="1">
                  <c:v>20226240</c:v>
                </c:pt>
                <c:pt idx="2">
                  <c:v>41116087.5</c:v>
                </c:pt>
                <c:pt idx="3">
                  <c:v>1721780</c:v>
                </c:pt>
                <c:pt idx="4">
                  <c:v>38284750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06-4651-AE7E-BD21464FFEC4}"/>
            </c:ext>
          </c:extLst>
        </c:ser>
        <c:ser>
          <c:idx val="3"/>
          <c:order val="3"/>
          <c:tx>
            <c:strRef>
              <c:f>Sheet11!$E$3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Sheet11!$A$4:$A$9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Sheet11!$E$4:$E$9</c:f>
              <c:numCache>
                <c:formatCode>General</c:formatCode>
                <c:ptCount val="5"/>
                <c:pt idx="0">
                  <c:v>1316803.1400000001</c:v>
                </c:pt>
                <c:pt idx="1">
                  <c:v>-614545.625</c:v>
                </c:pt>
                <c:pt idx="2">
                  <c:v>11388173.169999985</c:v>
                </c:pt>
                <c:pt idx="3">
                  <c:v>660103.07499999984</c:v>
                </c:pt>
                <c:pt idx="4">
                  <c:v>4143168.5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06-4651-AE7E-BD21464FF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807808"/>
        <c:axId val="394809120"/>
      </c:lineChart>
      <c:catAx>
        <c:axId val="39480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809120"/>
        <c:crosses val="autoZero"/>
        <c:auto val="1"/>
        <c:lblAlgn val="ctr"/>
        <c:lblOffset val="100"/>
        <c:noMultiLvlLbl val="0"/>
      </c:catAx>
      <c:valAx>
        <c:axId val="39480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80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[Western Countries Financial Data vishal pathak project.xlsx]segment wise discount!PivotTable1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wise discount'!$B$3:$B$4</c:f>
              <c:strCache>
                <c:ptCount val="1"/>
                <c:pt idx="0">
                  <c:v>High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'segment wise discount'!$A$5:$A$10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 wise discount'!$B$5:$B$10</c:f>
              <c:numCache>
                <c:formatCode>General</c:formatCode>
                <c:ptCount val="5"/>
                <c:pt idx="0">
                  <c:v>81346.619999999966</c:v>
                </c:pt>
                <c:pt idx="1">
                  <c:v>920341.25</c:v>
                </c:pt>
                <c:pt idx="2">
                  <c:v>2314897.3049999988</c:v>
                </c:pt>
                <c:pt idx="3">
                  <c:v>135818.1</c:v>
                </c:pt>
                <c:pt idx="4">
                  <c:v>1864623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D-4450-A30F-A1762C4AE695}"/>
            </c:ext>
          </c:extLst>
        </c:ser>
        <c:ser>
          <c:idx val="1"/>
          <c:order val="1"/>
          <c:tx>
            <c:strRef>
              <c:f>'segment wise discount'!$C$3:$C$4</c:f>
              <c:strCache>
                <c:ptCount val="1"/>
                <c:pt idx="0">
                  <c:v>Low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'segment wise discount'!$A$5:$A$10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 wise discount'!$C$5:$C$10</c:f>
              <c:numCache>
                <c:formatCode>General</c:formatCode>
                <c:ptCount val="5"/>
                <c:pt idx="0">
                  <c:v>9520.5</c:v>
                </c:pt>
                <c:pt idx="1">
                  <c:v>162409.375</c:v>
                </c:pt>
                <c:pt idx="2">
                  <c:v>423711.92499999999</c:v>
                </c:pt>
                <c:pt idx="3">
                  <c:v>11827.5</c:v>
                </c:pt>
                <c:pt idx="4">
                  <c:v>278206.5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3D-4450-A30F-A1762C4AE695}"/>
            </c:ext>
          </c:extLst>
        </c:ser>
        <c:ser>
          <c:idx val="2"/>
          <c:order val="2"/>
          <c:tx>
            <c:strRef>
              <c:f>'segment wise discount'!$D$3:$D$4</c:f>
              <c:strCache>
                <c:ptCount val="1"/>
                <c:pt idx="0">
                  <c:v>Medium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'segment wise discount'!$A$5:$A$10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 wise discount'!$D$5:$D$10</c:f>
              <c:numCache>
                <c:formatCode>General</c:formatCode>
                <c:ptCount val="5"/>
                <c:pt idx="0">
                  <c:v>43701.24000000002</c:v>
                </c:pt>
                <c:pt idx="1">
                  <c:v>374555</c:v>
                </c:pt>
                <c:pt idx="2">
                  <c:v>1160196.6000000001</c:v>
                </c:pt>
                <c:pt idx="3">
                  <c:v>53141.32499999999</c:v>
                </c:pt>
                <c:pt idx="4">
                  <c:v>1370952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3D-4450-A30F-A1762C4AE695}"/>
            </c:ext>
          </c:extLst>
        </c:ser>
        <c:ser>
          <c:idx val="3"/>
          <c:order val="3"/>
          <c:tx>
            <c:strRef>
              <c:f>'segment wise discount'!$E$3:$E$4</c:f>
              <c:strCache>
                <c:ptCount val="1"/>
                <c:pt idx="0">
                  <c:v>None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'segment wise discount'!$A$5:$A$10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'segment wise discount'!$E$5:$E$10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3D-4450-A30F-A1762C4AE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3162968"/>
        <c:axId val="543164936"/>
      </c:barChart>
      <c:catAx>
        <c:axId val="54316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64936"/>
        <c:crosses val="autoZero"/>
        <c:auto val="1"/>
        <c:lblAlgn val="ctr"/>
        <c:lblOffset val="100"/>
        <c:noMultiLvlLbl val="0"/>
      </c:catAx>
      <c:valAx>
        <c:axId val="54316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62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[Western Countries Financial Data vishal pathak project.xlsx]Sheet6!PivotTable1</c:name>
    <c:fmtId val="1"/>
  </c:pivotSource>
  <c:chart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Sheet6!$C$3:$C$4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Sheet6!$C$5:$C$11</c:f>
              <c:numCache>
                <c:formatCode>General</c:formatCode>
                <c:ptCount val="6"/>
                <c:pt idx="0">
                  <c:v>2032154.5299999998</c:v>
                </c:pt>
                <c:pt idx="1">
                  <c:v>1788036.0250000004</c:v>
                </c:pt>
                <c:pt idx="2">
                  <c:v>1656996.84</c:v>
                </c:pt>
                <c:pt idx="3">
                  <c:v>3697584.8600000003</c:v>
                </c:pt>
                <c:pt idx="4">
                  <c:v>1684042.7049999996</c:v>
                </c:pt>
                <c:pt idx="5">
                  <c:v>2156422.790000001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E7-4ECF-BBAB-3F0BA5AA8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10330848"/>
        <c:axId val="410335768"/>
      </c:barChart>
      <c:lineChart>
        <c:grouping val="standar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2013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Sheet6!$A$5:$A$11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Sheet6!$B$5:$B$11</c:f>
              <c:numCache>
                <c:formatCode>General</c:formatCode>
                <c:ptCount val="6"/>
                <c:pt idx="0">
                  <c:v>781949.53</c:v>
                </c:pt>
                <c:pt idx="1">
                  <c:v>38768.86</c:v>
                </c:pt>
                <c:pt idx="2">
                  <c:v>457758.03999999986</c:v>
                </c:pt>
                <c:pt idx="3">
                  <c:v>1099853.0899999999</c:v>
                </c:pt>
                <c:pt idx="4">
                  <c:v>621949.76</c:v>
                </c:pt>
                <c:pt idx="5">
                  <c:v>878185.2300000001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E7-4ECF-BBAB-3F0BA5AA8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452144"/>
        <c:axId val="356434760"/>
      </c:lineChart>
      <c:catAx>
        <c:axId val="41033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35768"/>
        <c:crosses val="autoZero"/>
        <c:auto val="1"/>
        <c:lblAlgn val="ctr"/>
        <c:lblOffset val="100"/>
        <c:noMultiLvlLbl val="0"/>
      </c:catAx>
      <c:valAx>
        <c:axId val="41033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30848"/>
        <c:crosses val="autoZero"/>
        <c:crossBetween val="between"/>
      </c:valAx>
      <c:valAx>
        <c:axId val="3564347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52144"/>
        <c:crosses val="max"/>
        <c:crossBetween val="between"/>
      </c:valAx>
      <c:catAx>
        <c:axId val="356452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6434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Sheet15!$G$9:$H$9</c:f>
              <c:strCache>
                <c:ptCount val="2"/>
                <c:pt idx="0">
                  <c:v>Carretera</c:v>
                </c:pt>
                <c:pt idx="1">
                  <c:v>1513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Sheet15!$I$7:$K$8</c:f>
              <c:multiLvlStrCache>
                <c:ptCount val="3"/>
                <c:lvl>
                  <c:pt idx="0">
                    <c:v>Sale Price</c:v>
                  </c:pt>
                  <c:pt idx="1">
                    <c:v>Gross Sales</c:v>
                  </c:pt>
                  <c:pt idx="2">
                    <c:v>Discounts</c:v>
                  </c:pt>
                </c:lvl>
                <c:lvl>
                  <c:pt idx="0">
                    <c:v>MEDIAN</c:v>
                  </c:pt>
                </c:lvl>
              </c:multiLvlStrCache>
            </c:multiLvlStrRef>
          </c:cat>
          <c:val>
            <c:numRef>
              <c:f>Sheet15!$I$9:$K$9</c:f>
              <c:numCache>
                <c:formatCode>General</c:formatCode>
                <c:ptCount val="3"/>
                <c:pt idx="0">
                  <c:v>20</c:v>
                </c:pt>
                <c:pt idx="1">
                  <c:v>37050</c:v>
                </c:pt>
                <c:pt idx="2">
                  <c:v>2093.25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5-4FB1-B32B-B55FFD3479F1}"/>
            </c:ext>
          </c:extLst>
        </c:ser>
        <c:ser>
          <c:idx val="1"/>
          <c:order val="1"/>
          <c:tx>
            <c:strRef>
              <c:f>Sheet15!$G$10:$H$10</c:f>
              <c:strCache>
                <c:ptCount val="2"/>
                <c:pt idx="0">
                  <c:v>Montana</c:v>
                </c:pt>
                <c:pt idx="1">
                  <c:v>1715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Sheet15!$I$7:$K$8</c:f>
              <c:multiLvlStrCache>
                <c:ptCount val="3"/>
                <c:lvl>
                  <c:pt idx="0">
                    <c:v>Sale Price</c:v>
                  </c:pt>
                  <c:pt idx="1">
                    <c:v>Gross Sales</c:v>
                  </c:pt>
                  <c:pt idx="2">
                    <c:v>Discounts</c:v>
                  </c:pt>
                </c:lvl>
                <c:lvl>
                  <c:pt idx="0">
                    <c:v>MEDIAN</c:v>
                  </c:pt>
                </c:lvl>
              </c:multiLvlStrCache>
            </c:multiLvlStrRef>
          </c:cat>
          <c:val>
            <c:numRef>
              <c:f>Sheet15!$I$10:$K$10</c:f>
              <c:numCache>
                <c:formatCode>General</c:formatCode>
                <c:ptCount val="3"/>
                <c:pt idx="0">
                  <c:v>20</c:v>
                </c:pt>
                <c:pt idx="1">
                  <c:v>34500</c:v>
                </c:pt>
                <c:pt idx="2">
                  <c:v>2506.6799999999998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C5-4FB1-B32B-B55FFD3479F1}"/>
            </c:ext>
          </c:extLst>
        </c:ser>
        <c:ser>
          <c:idx val="2"/>
          <c:order val="2"/>
          <c:tx>
            <c:strRef>
              <c:f>Sheet15!$G$11:$H$11</c:f>
              <c:strCache>
                <c:ptCount val="2"/>
                <c:pt idx="0">
                  <c:v>Paseo</c:v>
                </c:pt>
                <c:pt idx="1">
                  <c:v>1596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Sheet15!$I$7:$K$8</c:f>
              <c:multiLvlStrCache>
                <c:ptCount val="3"/>
                <c:lvl>
                  <c:pt idx="0">
                    <c:v>Sale Price</c:v>
                  </c:pt>
                  <c:pt idx="1">
                    <c:v>Gross Sales</c:v>
                  </c:pt>
                  <c:pt idx="2">
                    <c:v>Discounts</c:v>
                  </c:pt>
                </c:lvl>
                <c:lvl>
                  <c:pt idx="0">
                    <c:v>MEDIAN</c:v>
                  </c:pt>
                </c:lvl>
              </c:multiLvlStrCache>
            </c:multiLvlStrRef>
          </c:cat>
          <c:val>
            <c:numRef>
              <c:f>Sheet15!$I$11:$K$11</c:f>
              <c:numCache>
                <c:formatCode>General</c:formatCode>
                <c:ptCount val="3"/>
                <c:pt idx="0">
                  <c:v>20</c:v>
                </c:pt>
                <c:pt idx="1">
                  <c:v>34704</c:v>
                </c:pt>
                <c:pt idx="2">
                  <c:v>2460.88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C5-4FB1-B32B-B55FFD3479F1}"/>
            </c:ext>
          </c:extLst>
        </c:ser>
        <c:ser>
          <c:idx val="3"/>
          <c:order val="3"/>
          <c:tx>
            <c:strRef>
              <c:f>Sheet15!$G$12:$H$12</c:f>
              <c:strCache>
                <c:ptCount val="2"/>
                <c:pt idx="0">
                  <c:v>VTT</c:v>
                </c:pt>
                <c:pt idx="1">
                  <c:v>1527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Sheet15!$I$7:$K$8</c:f>
              <c:multiLvlStrCache>
                <c:ptCount val="3"/>
                <c:lvl>
                  <c:pt idx="0">
                    <c:v>Sale Price</c:v>
                  </c:pt>
                  <c:pt idx="1">
                    <c:v>Gross Sales</c:v>
                  </c:pt>
                  <c:pt idx="2">
                    <c:v>Discounts</c:v>
                  </c:pt>
                </c:lvl>
                <c:lvl>
                  <c:pt idx="0">
                    <c:v>MEDIAN</c:v>
                  </c:pt>
                </c:lvl>
              </c:multiLvlStrCache>
            </c:multiLvlStrRef>
          </c:cat>
          <c:val>
            <c:numRef>
              <c:f>Sheet15!$I$12:$K$12</c:f>
              <c:numCache>
                <c:formatCode>General</c:formatCode>
                <c:ptCount val="3"/>
                <c:pt idx="0">
                  <c:v>20</c:v>
                </c:pt>
                <c:pt idx="1">
                  <c:v>43125</c:v>
                </c:pt>
                <c:pt idx="2">
                  <c:v>1989.4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C5-4FB1-B32B-B55FFD3479F1}"/>
            </c:ext>
          </c:extLst>
        </c:ser>
        <c:ser>
          <c:idx val="4"/>
          <c:order val="4"/>
          <c:tx>
            <c:strRef>
              <c:f>Sheet15!$G$13:$H$13</c:f>
              <c:strCache>
                <c:ptCount val="2"/>
                <c:pt idx="0">
                  <c:v>Amarilla</c:v>
                </c:pt>
                <c:pt idx="1">
                  <c:v>1652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Sheet15!$I$7:$K$8</c:f>
              <c:multiLvlStrCache>
                <c:ptCount val="3"/>
                <c:lvl>
                  <c:pt idx="0">
                    <c:v>Sale Price</c:v>
                  </c:pt>
                  <c:pt idx="1">
                    <c:v>Gross Sales</c:v>
                  </c:pt>
                  <c:pt idx="2">
                    <c:v>Discounts</c:v>
                  </c:pt>
                </c:lvl>
                <c:lvl>
                  <c:pt idx="0">
                    <c:v>MEDIAN</c:v>
                  </c:pt>
                </c:lvl>
              </c:multiLvlStrCache>
            </c:multiLvlStrRef>
          </c:cat>
          <c:val>
            <c:numRef>
              <c:f>Sheet15!$I$13:$K$13</c:f>
              <c:numCache>
                <c:formatCode>General</c:formatCode>
                <c:ptCount val="3"/>
                <c:pt idx="0">
                  <c:v>20</c:v>
                </c:pt>
                <c:pt idx="1">
                  <c:v>38100</c:v>
                </c:pt>
                <c:pt idx="2">
                  <c:v>3951.42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C5-4FB1-B32B-B55FFD3479F1}"/>
            </c:ext>
          </c:extLst>
        </c:ser>
        <c:ser>
          <c:idx val="5"/>
          <c:order val="5"/>
          <c:tx>
            <c:strRef>
              <c:f>Sheet15!$G$14:$H$14</c:f>
              <c:strCache>
                <c:ptCount val="2"/>
                <c:pt idx="0">
                  <c:v>Velo</c:v>
                </c:pt>
                <c:pt idx="1">
                  <c:v>1307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Sheet15!$I$7:$K$8</c:f>
              <c:multiLvlStrCache>
                <c:ptCount val="3"/>
                <c:lvl>
                  <c:pt idx="0">
                    <c:v>Sale Price</c:v>
                  </c:pt>
                  <c:pt idx="1">
                    <c:v>Gross Sales</c:v>
                  </c:pt>
                  <c:pt idx="2">
                    <c:v>Discounts</c:v>
                  </c:pt>
                </c:lvl>
                <c:lvl>
                  <c:pt idx="0">
                    <c:v>MEDIAN</c:v>
                  </c:pt>
                </c:lvl>
              </c:multiLvlStrCache>
            </c:multiLvlStrRef>
          </c:cat>
          <c:val>
            <c:numRef>
              <c:f>Sheet15!$I$14:$K$14</c:f>
              <c:numCache>
                <c:formatCode>General</c:formatCode>
                <c:ptCount val="3"/>
                <c:pt idx="0">
                  <c:v>20</c:v>
                </c:pt>
                <c:pt idx="1">
                  <c:v>43125</c:v>
                </c:pt>
                <c:pt idx="2">
                  <c:v>1989.4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C5-4FB1-B32B-B55FFD3479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64053760"/>
        <c:axId val="464045888"/>
      </c:barChart>
      <c:catAx>
        <c:axId val="46405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045888"/>
        <c:crosses val="autoZero"/>
        <c:auto val="1"/>
        <c:lblAlgn val="ctr"/>
        <c:lblOffset val="100"/>
        <c:noMultiLvlLbl val="0"/>
      </c:catAx>
      <c:valAx>
        <c:axId val="4640458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405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Statistical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'Statistical Analysis'!$B$1</c:f>
              <c:strCache>
                <c:ptCount val="1"/>
                <c:pt idx="0">
                  <c:v>Units Sold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'Statistical Analysis'!$A$2:$A$14</c:f>
              <c:strCache>
                <c:ptCount val="13"/>
                <c:pt idx="0">
                  <c:v>Count</c:v>
                </c:pt>
                <c:pt idx="1">
                  <c:v>Kurtosis</c:v>
                </c:pt>
                <c:pt idx="2">
                  <c:v>Maximum</c:v>
                </c:pt>
                <c:pt idx="3">
                  <c:v>Mean</c:v>
                </c:pt>
                <c:pt idx="4">
                  <c:v>Median</c:v>
                </c:pt>
                <c:pt idx="5">
                  <c:v>Minimum</c:v>
                </c:pt>
                <c:pt idx="6">
                  <c:v>Mode</c:v>
                </c:pt>
                <c:pt idx="7">
                  <c:v>Range</c:v>
                </c:pt>
                <c:pt idx="8">
                  <c:v>Sample Variance</c:v>
                </c:pt>
                <c:pt idx="9">
                  <c:v>Skewness</c:v>
                </c:pt>
                <c:pt idx="10">
                  <c:v>Standard deviation</c:v>
                </c:pt>
                <c:pt idx="11">
                  <c:v>Standard Error</c:v>
                </c:pt>
                <c:pt idx="12">
                  <c:v>Sum</c:v>
                </c:pt>
              </c:strCache>
            </c:strRef>
          </c:cat>
          <c:val>
            <c:numRef>
              <c:f>'Statistical Analysis'!$B$2:$B$14</c:f>
              <c:numCache>
                <c:formatCode>General</c:formatCode>
                <c:ptCount val="13"/>
                <c:pt idx="0">
                  <c:v>700</c:v>
                </c:pt>
                <c:pt idx="1">
                  <c:v>-0.31531799666143678</c:v>
                </c:pt>
                <c:pt idx="2">
                  <c:v>4492.5</c:v>
                </c:pt>
                <c:pt idx="3">
                  <c:v>1608.2942857142857</c:v>
                </c:pt>
                <c:pt idx="4">
                  <c:v>1542.5</c:v>
                </c:pt>
                <c:pt idx="5">
                  <c:v>200</c:v>
                </c:pt>
                <c:pt idx="6">
                  <c:v>727</c:v>
                </c:pt>
                <c:pt idx="7">
                  <c:v>4292.5</c:v>
                </c:pt>
                <c:pt idx="8">
                  <c:v>752431.09066830168</c:v>
                </c:pt>
                <c:pt idx="9">
                  <c:v>0.43615356188187954</c:v>
                </c:pt>
                <c:pt idx="10">
                  <c:v>867.4278590570525</c:v>
                </c:pt>
                <c:pt idx="11">
                  <c:v>32.785691362202108</c:v>
                </c:pt>
                <c:pt idx="12">
                  <c:v>1125806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E-4C07-8B96-28126FE55BEF}"/>
            </c:ext>
          </c:extLst>
        </c:ser>
        <c:ser>
          <c:idx val="1"/>
          <c:order val="1"/>
          <c:tx>
            <c:strRef>
              <c:f>'Statistical Analysis'!$C$1</c:f>
              <c:strCache>
                <c:ptCount val="1"/>
                <c:pt idx="0">
                  <c:v>Manufacturing Price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'Statistical Analysis'!$A$2:$A$14</c:f>
              <c:strCache>
                <c:ptCount val="13"/>
                <c:pt idx="0">
                  <c:v>Count</c:v>
                </c:pt>
                <c:pt idx="1">
                  <c:v>Kurtosis</c:v>
                </c:pt>
                <c:pt idx="2">
                  <c:v>Maximum</c:v>
                </c:pt>
                <c:pt idx="3">
                  <c:v>Mean</c:v>
                </c:pt>
                <c:pt idx="4">
                  <c:v>Median</c:v>
                </c:pt>
                <c:pt idx="5">
                  <c:v>Minimum</c:v>
                </c:pt>
                <c:pt idx="6">
                  <c:v>Mode</c:v>
                </c:pt>
                <c:pt idx="7">
                  <c:v>Range</c:v>
                </c:pt>
                <c:pt idx="8">
                  <c:v>Sample Variance</c:v>
                </c:pt>
                <c:pt idx="9">
                  <c:v>Skewness</c:v>
                </c:pt>
                <c:pt idx="10">
                  <c:v>Standard deviation</c:v>
                </c:pt>
                <c:pt idx="11">
                  <c:v>Standard Error</c:v>
                </c:pt>
                <c:pt idx="12">
                  <c:v>Sum</c:v>
                </c:pt>
              </c:strCache>
            </c:strRef>
          </c:cat>
          <c:val>
            <c:numRef>
              <c:f>'Statistical Analysis'!$C$2:$C$14</c:f>
              <c:numCache>
                <c:formatCode>General</c:formatCode>
                <c:ptCount val="13"/>
                <c:pt idx="0">
                  <c:v>700</c:v>
                </c:pt>
                <c:pt idx="1">
                  <c:v>-1.4289626799008768</c:v>
                </c:pt>
                <c:pt idx="2">
                  <c:v>260</c:v>
                </c:pt>
                <c:pt idx="3">
                  <c:v>96.477142857142852</c:v>
                </c:pt>
                <c:pt idx="4">
                  <c:v>10</c:v>
                </c:pt>
                <c:pt idx="5">
                  <c:v>3</c:v>
                </c:pt>
                <c:pt idx="6">
                  <c:v>10</c:v>
                </c:pt>
                <c:pt idx="7">
                  <c:v>257</c:v>
                </c:pt>
                <c:pt idx="8">
                  <c:v>11794.527373799305</c:v>
                </c:pt>
                <c:pt idx="9">
                  <c:v>0.59258395155971699</c:v>
                </c:pt>
                <c:pt idx="10">
                  <c:v>108.602612186813</c:v>
                </c:pt>
                <c:pt idx="11">
                  <c:v>4.1047929082614258</c:v>
                </c:pt>
                <c:pt idx="12">
                  <c:v>67534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FE-4C07-8B96-28126FE55BEF}"/>
            </c:ext>
          </c:extLst>
        </c:ser>
        <c:ser>
          <c:idx val="2"/>
          <c:order val="2"/>
          <c:tx>
            <c:strRef>
              <c:f>'Statistical Analysis'!$D$1</c:f>
              <c:strCache>
                <c:ptCount val="1"/>
                <c:pt idx="0">
                  <c:v>Sale Price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'Statistical Analysis'!$A$2:$A$14</c:f>
              <c:strCache>
                <c:ptCount val="13"/>
                <c:pt idx="0">
                  <c:v>Count</c:v>
                </c:pt>
                <c:pt idx="1">
                  <c:v>Kurtosis</c:v>
                </c:pt>
                <c:pt idx="2">
                  <c:v>Maximum</c:v>
                </c:pt>
                <c:pt idx="3">
                  <c:v>Mean</c:v>
                </c:pt>
                <c:pt idx="4">
                  <c:v>Median</c:v>
                </c:pt>
                <c:pt idx="5">
                  <c:v>Minimum</c:v>
                </c:pt>
                <c:pt idx="6">
                  <c:v>Mode</c:v>
                </c:pt>
                <c:pt idx="7">
                  <c:v>Range</c:v>
                </c:pt>
                <c:pt idx="8">
                  <c:v>Sample Variance</c:v>
                </c:pt>
                <c:pt idx="9">
                  <c:v>Skewness</c:v>
                </c:pt>
                <c:pt idx="10">
                  <c:v>Standard deviation</c:v>
                </c:pt>
                <c:pt idx="11">
                  <c:v>Standard Error</c:v>
                </c:pt>
                <c:pt idx="12">
                  <c:v>Sum</c:v>
                </c:pt>
              </c:strCache>
            </c:strRef>
          </c:cat>
          <c:val>
            <c:numRef>
              <c:f>'Statistical Analysis'!$D$2:$D$14</c:f>
              <c:numCache>
                <c:formatCode>General</c:formatCode>
                <c:ptCount val="13"/>
                <c:pt idx="0">
                  <c:v>700</c:v>
                </c:pt>
                <c:pt idx="1">
                  <c:v>-1.1767890077376564</c:v>
                </c:pt>
                <c:pt idx="2">
                  <c:v>350</c:v>
                </c:pt>
                <c:pt idx="3">
                  <c:v>118.42857142857143</c:v>
                </c:pt>
                <c:pt idx="4">
                  <c:v>20</c:v>
                </c:pt>
                <c:pt idx="5">
                  <c:v>7</c:v>
                </c:pt>
                <c:pt idx="6">
                  <c:v>20</c:v>
                </c:pt>
                <c:pt idx="7">
                  <c:v>343</c:v>
                </c:pt>
                <c:pt idx="8">
                  <c:v>18707.541385652974</c:v>
                </c:pt>
                <c:pt idx="9">
                  <c:v>0.77128187077936872</c:v>
                </c:pt>
                <c:pt idx="10">
                  <c:v>136.7755145691398</c:v>
                </c:pt>
                <c:pt idx="11">
                  <c:v>5.1696285284690804</c:v>
                </c:pt>
                <c:pt idx="12">
                  <c:v>82900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FE-4C07-8B96-28126FE55BEF}"/>
            </c:ext>
          </c:extLst>
        </c:ser>
        <c:ser>
          <c:idx val="3"/>
          <c:order val="3"/>
          <c:tx>
            <c:strRef>
              <c:f>'Statistical Analysis'!$E$1</c:f>
              <c:strCache>
                <c:ptCount val="1"/>
                <c:pt idx="0">
                  <c:v>Gross Sales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'Statistical Analysis'!$A$2:$A$14</c:f>
              <c:strCache>
                <c:ptCount val="13"/>
                <c:pt idx="0">
                  <c:v>Count</c:v>
                </c:pt>
                <c:pt idx="1">
                  <c:v>Kurtosis</c:v>
                </c:pt>
                <c:pt idx="2">
                  <c:v>Maximum</c:v>
                </c:pt>
                <c:pt idx="3">
                  <c:v>Mean</c:v>
                </c:pt>
                <c:pt idx="4">
                  <c:v>Median</c:v>
                </c:pt>
                <c:pt idx="5">
                  <c:v>Minimum</c:v>
                </c:pt>
                <c:pt idx="6">
                  <c:v>Mode</c:v>
                </c:pt>
                <c:pt idx="7">
                  <c:v>Range</c:v>
                </c:pt>
                <c:pt idx="8">
                  <c:v>Sample Variance</c:v>
                </c:pt>
                <c:pt idx="9">
                  <c:v>Skewness</c:v>
                </c:pt>
                <c:pt idx="10">
                  <c:v>Standard deviation</c:v>
                </c:pt>
                <c:pt idx="11">
                  <c:v>Standard Error</c:v>
                </c:pt>
                <c:pt idx="12">
                  <c:v>Sum</c:v>
                </c:pt>
              </c:strCache>
            </c:strRef>
          </c:cat>
          <c:val>
            <c:numRef>
              <c:f>'Statistical Analysis'!$E$2:$E$14</c:f>
              <c:numCache>
                <c:formatCode>General</c:formatCode>
                <c:ptCount val="13"/>
                <c:pt idx="0">
                  <c:v>700</c:v>
                </c:pt>
                <c:pt idx="1">
                  <c:v>2.0543005833645949</c:v>
                </c:pt>
                <c:pt idx="2">
                  <c:v>1207500</c:v>
                </c:pt>
                <c:pt idx="3">
                  <c:v>182759.42642857143</c:v>
                </c:pt>
                <c:pt idx="4">
                  <c:v>37980</c:v>
                </c:pt>
                <c:pt idx="5">
                  <c:v>1799</c:v>
                </c:pt>
                <c:pt idx="6">
                  <c:v>37050</c:v>
                </c:pt>
                <c:pt idx="7">
                  <c:v>1205701</c:v>
                </c:pt>
                <c:pt idx="8">
                  <c:v>64649309257.293221</c:v>
                </c:pt>
                <c:pt idx="9">
                  <c:v>1.6739216559931125</c:v>
                </c:pt>
                <c:pt idx="10">
                  <c:v>254262.28437834271</c:v>
                </c:pt>
                <c:pt idx="11">
                  <c:v>9610.2110321182572</c:v>
                </c:pt>
                <c:pt idx="12">
                  <c:v>127931598.5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FE-4C07-8B96-28126FE55BEF}"/>
            </c:ext>
          </c:extLst>
        </c:ser>
        <c:ser>
          <c:idx val="4"/>
          <c:order val="4"/>
          <c:tx>
            <c:strRef>
              <c:f>'Statistical Analysis'!$F$1</c:f>
              <c:strCache>
                <c:ptCount val="1"/>
                <c:pt idx="0">
                  <c:v>Discounts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'Statistical Analysis'!$A$2:$A$14</c:f>
              <c:strCache>
                <c:ptCount val="13"/>
                <c:pt idx="0">
                  <c:v>Count</c:v>
                </c:pt>
                <c:pt idx="1">
                  <c:v>Kurtosis</c:v>
                </c:pt>
                <c:pt idx="2">
                  <c:v>Maximum</c:v>
                </c:pt>
                <c:pt idx="3">
                  <c:v>Mean</c:v>
                </c:pt>
                <c:pt idx="4">
                  <c:v>Median</c:v>
                </c:pt>
                <c:pt idx="5">
                  <c:v>Minimum</c:v>
                </c:pt>
                <c:pt idx="6">
                  <c:v>Mode</c:v>
                </c:pt>
                <c:pt idx="7">
                  <c:v>Range</c:v>
                </c:pt>
                <c:pt idx="8">
                  <c:v>Sample Variance</c:v>
                </c:pt>
                <c:pt idx="9">
                  <c:v>Skewness</c:v>
                </c:pt>
                <c:pt idx="10">
                  <c:v>Standard deviation</c:v>
                </c:pt>
                <c:pt idx="11">
                  <c:v>Standard Error</c:v>
                </c:pt>
                <c:pt idx="12">
                  <c:v>Sum</c:v>
                </c:pt>
              </c:strCache>
            </c:strRef>
          </c:cat>
          <c:val>
            <c:numRef>
              <c:f>'Statistical Analysis'!$F$2:$F$14</c:f>
              <c:numCache>
                <c:formatCode>General</c:formatCode>
                <c:ptCount val="13"/>
                <c:pt idx="0">
                  <c:v>700</c:v>
                </c:pt>
                <c:pt idx="1">
                  <c:v>7.9057124440392208</c:v>
                </c:pt>
                <c:pt idx="2">
                  <c:v>149677.5</c:v>
                </c:pt>
                <c:pt idx="3">
                  <c:v>13150.354628571431</c:v>
                </c:pt>
                <c:pt idx="4">
                  <c:v>2585.25</c:v>
                </c:pt>
                <c:pt idx="5">
                  <c:v>0</c:v>
                </c:pt>
                <c:pt idx="6">
                  <c:v>0</c:v>
                </c:pt>
                <c:pt idx="7">
                  <c:v>149677.5</c:v>
                </c:pt>
                <c:pt idx="8">
                  <c:v>527296097.91643983</c:v>
                </c:pt>
                <c:pt idx="9">
                  <c:v>2.6850389381052451</c:v>
                </c:pt>
                <c:pt idx="10">
                  <c:v>22962.928774797867</c:v>
                </c:pt>
                <c:pt idx="11">
                  <c:v>867.91712731148959</c:v>
                </c:pt>
                <c:pt idx="12">
                  <c:v>9205248.2400000021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FE-4C07-8B96-28126FE55BEF}"/>
            </c:ext>
          </c:extLst>
        </c:ser>
        <c:ser>
          <c:idx val="5"/>
          <c:order val="5"/>
          <c:tx>
            <c:strRef>
              <c:f>'Statistical Analysis'!$G$1</c:f>
              <c:strCache>
                <c:ptCount val="1"/>
                <c:pt idx="0">
                  <c:v> Sales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'Statistical Analysis'!$A$2:$A$14</c:f>
              <c:strCache>
                <c:ptCount val="13"/>
                <c:pt idx="0">
                  <c:v>Count</c:v>
                </c:pt>
                <c:pt idx="1">
                  <c:v>Kurtosis</c:v>
                </c:pt>
                <c:pt idx="2">
                  <c:v>Maximum</c:v>
                </c:pt>
                <c:pt idx="3">
                  <c:v>Mean</c:v>
                </c:pt>
                <c:pt idx="4">
                  <c:v>Median</c:v>
                </c:pt>
                <c:pt idx="5">
                  <c:v>Minimum</c:v>
                </c:pt>
                <c:pt idx="6">
                  <c:v>Mode</c:v>
                </c:pt>
                <c:pt idx="7">
                  <c:v>Range</c:v>
                </c:pt>
                <c:pt idx="8">
                  <c:v>Sample Variance</c:v>
                </c:pt>
                <c:pt idx="9">
                  <c:v>Skewness</c:v>
                </c:pt>
                <c:pt idx="10">
                  <c:v>Standard deviation</c:v>
                </c:pt>
                <c:pt idx="11">
                  <c:v>Standard Error</c:v>
                </c:pt>
                <c:pt idx="12">
                  <c:v>Sum</c:v>
                </c:pt>
              </c:strCache>
            </c:strRef>
          </c:cat>
          <c:val>
            <c:numRef>
              <c:f>'Statistical Analysis'!$G$2:$G$14</c:f>
              <c:numCache>
                <c:formatCode>General</c:formatCode>
                <c:ptCount val="13"/>
                <c:pt idx="0">
                  <c:v>700</c:v>
                </c:pt>
                <c:pt idx="1">
                  <c:v>2.1886330881675797</c:v>
                </c:pt>
                <c:pt idx="2">
                  <c:v>1159200</c:v>
                </c:pt>
                <c:pt idx="3">
                  <c:v>169609.07179999989</c:v>
                </c:pt>
                <c:pt idx="4">
                  <c:v>35540.199999999997</c:v>
                </c:pt>
                <c:pt idx="5">
                  <c:v>1655.08</c:v>
                </c:pt>
                <c:pt idx="6">
                  <c:v>32670</c:v>
                </c:pt>
                <c:pt idx="7">
                  <c:v>1157544.92</c:v>
                </c:pt>
                <c:pt idx="8">
                  <c:v>56039363321.240723</c:v>
                </c:pt>
                <c:pt idx="9">
                  <c:v>1.6962952166787826</c:v>
                </c:pt>
                <c:pt idx="10">
                  <c:v>236726.34690976146</c:v>
                </c:pt>
                <c:pt idx="11">
                  <c:v>8947.4148957147499</c:v>
                </c:pt>
                <c:pt idx="12">
                  <c:v>118726350.25999992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FE-4C07-8B96-28126FE55BEF}"/>
            </c:ext>
          </c:extLst>
        </c:ser>
        <c:ser>
          <c:idx val="6"/>
          <c:order val="6"/>
          <c:tx>
            <c:strRef>
              <c:f>'Statistical Analysis'!$H$1</c:f>
              <c:strCache>
                <c:ptCount val="1"/>
                <c:pt idx="0">
                  <c:v>COGS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'Statistical Analysis'!$A$2:$A$14</c:f>
              <c:strCache>
                <c:ptCount val="13"/>
                <c:pt idx="0">
                  <c:v>Count</c:v>
                </c:pt>
                <c:pt idx="1">
                  <c:v>Kurtosis</c:v>
                </c:pt>
                <c:pt idx="2">
                  <c:v>Maximum</c:v>
                </c:pt>
                <c:pt idx="3">
                  <c:v>Mean</c:v>
                </c:pt>
                <c:pt idx="4">
                  <c:v>Median</c:v>
                </c:pt>
                <c:pt idx="5">
                  <c:v>Minimum</c:v>
                </c:pt>
                <c:pt idx="6">
                  <c:v>Mode</c:v>
                </c:pt>
                <c:pt idx="7">
                  <c:v>Range</c:v>
                </c:pt>
                <c:pt idx="8">
                  <c:v>Sample Variance</c:v>
                </c:pt>
                <c:pt idx="9">
                  <c:v>Skewness</c:v>
                </c:pt>
                <c:pt idx="10">
                  <c:v>Standard deviation</c:v>
                </c:pt>
                <c:pt idx="11">
                  <c:v>Standard Error</c:v>
                </c:pt>
                <c:pt idx="12">
                  <c:v>Sum</c:v>
                </c:pt>
              </c:strCache>
            </c:strRef>
          </c:cat>
          <c:val>
            <c:numRef>
              <c:f>'Statistical Analysis'!$H$2:$H$14</c:f>
              <c:numCache>
                <c:formatCode>General</c:formatCode>
                <c:ptCount val="13"/>
                <c:pt idx="0">
                  <c:v>700</c:v>
                </c:pt>
                <c:pt idx="1">
                  <c:v>1.6084629731339706</c:v>
                </c:pt>
                <c:pt idx="2">
                  <c:v>950625</c:v>
                </c:pt>
                <c:pt idx="3">
                  <c:v>145475.21142857143</c:v>
                </c:pt>
                <c:pt idx="4">
                  <c:v>22506.25</c:v>
                </c:pt>
                <c:pt idx="5">
                  <c:v>918</c:v>
                </c:pt>
                <c:pt idx="6">
                  <c:v>17430</c:v>
                </c:pt>
                <c:pt idx="7">
                  <c:v>949707</c:v>
                </c:pt>
                <c:pt idx="8">
                  <c:v>41561144584.94236</c:v>
                </c:pt>
                <c:pt idx="9">
                  <c:v>1.5490475616776296</c:v>
                </c:pt>
                <c:pt idx="10">
                  <c:v>203865.50611847595</c:v>
                </c:pt>
                <c:pt idx="11">
                  <c:v>7705.3918584829153</c:v>
                </c:pt>
                <c:pt idx="12">
                  <c:v>101832648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FE-4C07-8B96-28126FE55BEF}"/>
            </c:ext>
          </c:extLst>
        </c:ser>
        <c:ser>
          <c:idx val="7"/>
          <c:order val="7"/>
          <c:tx>
            <c:strRef>
              <c:f>'Statistical Analysis'!$I$1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'Statistical Analysis'!$A$2:$A$14</c:f>
              <c:strCache>
                <c:ptCount val="13"/>
                <c:pt idx="0">
                  <c:v>Count</c:v>
                </c:pt>
                <c:pt idx="1">
                  <c:v>Kurtosis</c:v>
                </c:pt>
                <c:pt idx="2">
                  <c:v>Maximum</c:v>
                </c:pt>
                <c:pt idx="3">
                  <c:v>Mean</c:v>
                </c:pt>
                <c:pt idx="4">
                  <c:v>Median</c:v>
                </c:pt>
                <c:pt idx="5">
                  <c:v>Minimum</c:v>
                </c:pt>
                <c:pt idx="6">
                  <c:v>Mode</c:v>
                </c:pt>
                <c:pt idx="7">
                  <c:v>Range</c:v>
                </c:pt>
                <c:pt idx="8">
                  <c:v>Sample Variance</c:v>
                </c:pt>
                <c:pt idx="9">
                  <c:v>Skewness</c:v>
                </c:pt>
                <c:pt idx="10">
                  <c:v>Standard deviation</c:v>
                </c:pt>
                <c:pt idx="11">
                  <c:v>Standard Error</c:v>
                </c:pt>
                <c:pt idx="12">
                  <c:v>Sum</c:v>
                </c:pt>
              </c:strCache>
            </c:strRef>
          </c:cat>
          <c:val>
            <c:numRef>
              <c:f>'Statistical Analysis'!$I$2:$I$14</c:f>
              <c:numCache>
                <c:formatCode>General</c:formatCode>
                <c:ptCount val="13"/>
                <c:pt idx="0">
                  <c:v>700</c:v>
                </c:pt>
                <c:pt idx="1">
                  <c:v>8.6786162157039932</c:v>
                </c:pt>
                <c:pt idx="2">
                  <c:v>262200</c:v>
                </c:pt>
                <c:pt idx="3">
                  <c:v>24133.860371428585</c:v>
                </c:pt>
                <c:pt idx="4">
                  <c:v>9242.1999999999989</c:v>
                </c:pt>
                <c:pt idx="5">
                  <c:v>-40617.5</c:v>
                </c:pt>
                <c:pt idx="6">
                  <c:v>0</c:v>
                </c:pt>
                <c:pt idx="7">
                  <c:v>302817.5</c:v>
                </c:pt>
                <c:pt idx="8">
                  <c:v>1828471184.0875945</c:v>
                </c:pt>
                <c:pt idx="9">
                  <c:v>2.7121512644367356</c:v>
                </c:pt>
                <c:pt idx="10">
                  <c:v>42760.62656331867</c:v>
                </c:pt>
                <c:pt idx="11">
                  <c:v>1616.1997684549106</c:v>
                </c:pt>
                <c:pt idx="12">
                  <c:v>16893702.260000009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CFE-4C07-8B96-28126FE55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8329824"/>
        <c:axId val="598327856"/>
        <c:axId val="0"/>
      </c:bar3DChart>
      <c:catAx>
        <c:axId val="59832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27856"/>
        <c:crosses val="autoZero"/>
        <c:auto val="1"/>
        <c:lblAlgn val="ctr"/>
        <c:lblOffset val="100"/>
        <c:noMultiLvlLbl val="0"/>
      </c:catAx>
      <c:valAx>
        <c:axId val="59832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2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481012</xdr:colOff>
      <xdr:row>4</xdr:row>
      <xdr:rowOff>152400</xdr:rowOff>
    </xdr:from>
    <xdr:to>
      <xdr:col>9</xdr:col>
      <xdr:colOff>557212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433387</xdr:colOff>
      <xdr:row>4</xdr:row>
      <xdr:rowOff>161925</xdr:rowOff>
    </xdr:from>
    <xdr:to>
      <xdr:col>12</xdr:col>
      <xdr:colOff>276225</xdr:colOff>
      <xdr:row>21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223836</xdr:colOff>
      <xdr:row>0</xdr:row>
      <xdr:rowOff>0</xdr:rowOff>
    </xdr:from>
    <xdr:to>
      <xdr:col>12</xdr:col>
      <xdr:colOff>276224</xdr:colOff>
      <xdr:row>17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252412</xdr:colOff>
      <xdr:row>9</xdr:row>
      <xdr:rowOff>28575</xdr:rowOff>
    </xdr:from>
    <xdr:to>
      <xdr:col>10</xdr:col>
      <xdr:colOff>280987</xdr:colOff>
      <xdr:row>23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890587</xdr:colOff>
      <xdr:row>2</xdr:row>
      <xdr:rowOff>171450</xdr:rowOff>
    </xdr:from>
    <xdr:to>
      <xdr:col>10</xdr:col>
      <xdr:colOff>80962</xdr:colOff>
      <xdr:row>17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452437</xdr:colOff>
      <xdr:row>2</xdr:row>
      <xdr:rowOff>114300</xdr:rowOff>
    </xdr:from>
    <xdr:to>
      <xdr:col>14</xdr:col>
      <xdr:colOff>180975</xdr:colOff>
      <xdr:row>18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0.5154</cdr:x>
      <cdr:y>0.05696</cdr:y>
    </cdr:from>
    <cdr:to>
      <cdr:x>0.86866</cdr:x>
      <cdr:y>0.10127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09863" y="171450"/>
          <a:ext cx="1857375" cy="133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0</xdr:row>
      <xdr:rowOff>28575</xdr:rowOff>
    </xdr:from>
    <xdr:to>
      <xdr:col>13</xdr:col>
      <xdr:colOff>523875</xdr:colOff>
      <xdr:row>13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0.5154</cdr:x>
      <cdr:y>0.05696</cdr:y>
    </cdr:from>
    <cdr:to>
      <cdr:x>0.86866</cdr:x>
      <cdr:y>0.10127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09863" y="171450"/>
          <a:ext cx="1857375" cy="133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823912</xdr:colOff>
      <xdr:row>4</xdr:row>
      <xdr:rowOff>152400</xdr:rowOff>
    </xdr:from>
    <xdr:to>
      <xdr:col>10</xdr:col>
      <xdr:colOff>290512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500062</xdr:colOff>
      <xdr:row>4</xdr:row>
      <xdr:rowOff>152400</xdr:rowOff>
    </xdr:from>
    <xdr:to>
      <xdr:col>6</xdr:col>
      <xdr:colOff>976312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457199</xdr:rowOff>
    </xdr:from>
    <xdr:to>
      <xdr:col>4</xdr:col>
      <xdr:colOff>390524</xdr:colOff>
      <xdr:row>11</xdr:row>
      <xdr:rowOff>66674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371475</xdr:colOff>
      <xdr:row>0</xdr:row>
      <xdr:rowOff>447675</xdr:rowOff>
    </xdr:from>
    <xdr:to>
      <xdr:col>9</xdr:col>
      <xdr:colOff>323850</xdr:colOff>
      <xdr:row>11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323849</xdr:colOff>
      <xdr:row>1</xdr:row>
      <xdr:rowOff>0</xdr:rowOff>
    </xdr:from>
    <xdr:to>
      <xdr:col>17</xdr:col>
      <xdr:colOff>9524</xdr:colOff>
      <xdr:row>11</xdr:row>
      <xdr:rowOff>133349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</xdr:row>
      <xdr:rowOff>66675</xdr:rowOff>
    </xdr:from>
    <xdr:to>
      <xdr:col>7</xdr:col>
      <xdr:colOff>200025</xdr:colOff>
      <xdr:row>22</xdr:row>
      <xdr:rowOff>161925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200024</xdr:colOff>
      <xdr:row>11</xdr:row>
      <xdr:rowOff>38100</xdr:rowOff>
    </xdr:from>
    <xdr:to>
      <xdr:col>17</xdr:col>
      <xdr:colOff>19050</xdr:colOff>
      <xdr:row>23</xdr:row>
      <xdr:rowOff>171450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0.5154</cdr:x>
      <cdr:y>0.05696</cdr:y>
    </cdr:from>
    <cdr:to>
      <cdr:x>0.86866</cdr:x>
      <cdr:y>0.10127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09863" y="171450"/>
          <a:ext cx="1857375" cy="133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700087</xdr:colOff>
      <xdr:row>4</xdr:row>
      <xdr:rowOff>152400</xdr:rowOff>
    </xdr:from>
    <xdr:to>
      <xdr:col>9</xdr:col>
      <xdr:colOff>319087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71437</xdr:colOff>
      <xdr:row>1</xdr:row>
      <xdr:rowOff>95250</xdr:rowOff>
    </xdr:from>
    <xdr:to>
      <xdr:col>13</xdr:col>
      <xdr:colOff>376237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</xdr:colOff>
      <xdr:row>4</xdr:row>
      <xdr:rowOff>152400</xdr:rowOff>
    </xdr:from>
    <xdr:to>
      <xdr:col>9</xdr:col>
      <xdr:colOff>280987</xdr:colOff>
      <xdr:row>19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14</xdr:row>
      <xdr:rowOff>28575</xdr:rowOff>
    </xdr:from>
    <xdr:to>
      <xdr:col>11</xdr:col>
      <xdr:colOff>171450</xdr:colOff>
      <xdr:row>28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0</xdr:row>
      <xdr:rowOff>28575</xdr:rowOff>
    </xdr:from>
    <xdr:to>
      <xdr:col>15</xdr:col>
      <xdr:colOff>380999</xdr:colOff>
      <xdr:row>14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ishal Pathak HRM" refreshedDate="45152.402724884261" createdVersion="6" refreshedVersion="6" minRefreshableVersion="3" recordCount="700">
  <cacheSource type="worksheet">
    <worksheetSource name="financials"/>
  </cacheSource>
  <cacheFields count="18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164">
      <sharedItems count="6">
        <s v="Carretera"/>
        <s v="Montana"/>
        <s v="Paseo"/>
        <s v="Velo"/>
        <s v="VTT"/>
        <s v="Amarilla"/>
      </sharedItems>
    </cacheField>
    <cacheField name="Discount Band" numFmtId="164">
      <sharedItems count="4">
        <s v="None"/>
        <s v="Low"/>
        <s v="Medium"/>
        <s v="High"/>
      </sharedItems>
    </cacheField>
    <cacheField name="Units Sold" numFmtId="0">
      <sharedItems containsSemiMixedTypes="0" containsString="0" containsNumber="1" minValue="200" maxValue="4492.5" count="510">
        <n v="1618.5"/>
        <n v="1321"/>
        <n v="2178"/>
        <n v="888"/>
        <n v="2470"/>
        <n v="1513"/>
        <n v="921"/>
        <n v="2518"/>
        <n v="1899"/>
        <n v="1545"/>
        <n v="2665.5"/>
        <n v="958"/>
        <n v="2146"/>
        <n v="345"/>
        <n v="615"/>
        <n v="292"/>
        <n v="974"/>
        <n v="1006"/>
        <n v="367"/>
        <n v="883"/>
        <n v="549"/>
        <n v="788"/>
        <n v="2472"/>
        <n v="1143"/>
        <n v="1725"/>
        <n v="912"/>
        <n v="2152"/>
        <n v="1817"/>
        <n v="1493"/>
        <n v="1804"/>
        <n v="2161"/>
        <n v="2821"/>
        <n v="2001"/>
        <n v="2838"/>
        <n v="1527"/>
        <n v="2151"/>
        <n v="2750"/>
        <n v="1953"/>
        <n v="4219.5"/>
        <n v="1686"/>
        <n v="2141"/>
        <n v="3945"/>
        <n v="2296"/>
        <n v="1030"/>
        <n v="639"/>
        <n v="1326"/>
        <n v="1858"/>
        <n v="1210"/>
        <n v="2529"/>
        <n v="1445"/>
        <n v="330"/>
        <n v="2671"/>
        <n v="766"/>
        <n v="494"/>
        <n v="1397"/>
        <n v="2155"/>
        <n v="2214"/>
        <n v="2301"/>
        <n v="1375.5"/>
        <n v="1830"/>
        <n v="2498"/>
        <n v="663"/>
        <n v="1514"/>
        <n v="4492.5"/>
        <n v="727"/>
        <n v="787"/>
        <n v="1823"/>
        <n v="747"/>
        <n v="2905"/>
        <n v="3864"/>
        <n v="362"/>
        <n v="923"/>
        <n v="2092"/>
        <n v="263"/>
        <n v="943.5"/>
        <n v="986"/>
        <n v="1744"/>
        <n v="1989"/>
        <n v="321"/>
        <n v="742.5"/>
        <n v="1295"/>
        <n v="214"/>
        <n v="2145"/>
        <n v="2852"/>
        <n v="1142"/>
        <n v="1566"/>
        <n v="690"/>
        <n v="1660"/>
        <n v="2363"/>
        <n v="918"/>
        <n v="1728"/>
        <n v="662"/>
        <n v="809"/>
        <n v="1785"/>
        <n v="1916"/>
        <n v="2729"/>
        <n v="1925"/>
        <n v="2013"/>
        <n v="1055"/>
        <n v="1084"/>
        <n v="2966"/>
        <n v="2877"/>
        <n v="544"/>
        <n v="266"/>
        <n v="1940"/>
        <n v="259"/>
        <n v="1101"/>
        <n v="2276"/>
        <n v="1236"/>
        <n v="941"/>
        <n v="4243.5"/>
        <n v="2580"/>
        <n v="689"/>
        <n v="1947"/>
        <n v="908"/>
        <n v="1958"/>
        <n v="1901"/>
        <n v="1797"/>
        <n v="1287"/>
        <n v="1706"/>
        <n v="2434.5"/>
        <n v="1774"/>
        <n v="1570"/>
        <n v="1369.5"/>
        <n v="2009"/>
        <n v="1945"/>
        <n v="2844"/>
        <n v="1874"/>
        <n v="1642"/>
        <n v="831"/>
        <n v="1760"/>
        <n v="3850.5"/>
        <n v="2479"/>
        <n v="2031"/>
        <n v="2261"/>
        <n v="736"/>
        <n v="2851"/>
        <n v="2021"/>
        <n v="274"/>
        <n v="1967"/>
        <n v="1859"/>
        <n v="1138"/>
        <n v="4251"/>
        <n v="795"/>
        <n v="1414.5"/>
        <n v="2918"/>
        <n v="3450"/>
        <n v="2988"/>
        <n v="218"/>
        <n v="2074"/>
        <n v="1056"/>
        <n v="671"/>
        <n v="1465"/>
        <n v="2646"/>
        <n v="2177"/>
        <n v="866"/>
        <n v="349"/>
        <n v="1865"/>
        <n v="1074"/>
        <n v="1907"/>
        <n v="1778"/>
        <n v="1159"/>
        <n v="1372"/>
        <n v="2349"/>
        <n v="2689"/>
        <n v="2431"/>
        <n v="1683"/>
        <n v="1123"/>
        <n v="1116"/>
        <n v="1563"/>
        <n v="991"/>
        <n v="1016"/>
        <n v="2791"/>
        <n v="570"/>
        <n v="2487"/>
        <n v="1384.5"/>
        <n v="3627"/>
        <n v="720"/>
        <n v="2342"/>
        <n v="1100"/>
        <n v="1303"/>
        <n v="2992"/>
        <n v="2385"/>
        <n v="1607"/>
        <n v="2327"/>
        <n v="602"/>
        <n v="2620"/>
        <n v="1228"/>
        <n v="1389"/>
        <n v="861"/>
        <n v="704"/>
        <n v="1802"/>
        <n v="2663"/>
        <n v="2136"/>
        <n v="2116"/>
        <n v="555"/>
        <n v="2861"/>
        <n v="807"/>
        <n v="2832"/>
        <n v="1579"/>
        <n v="1033"/>
        <n v="1250"/>
        <n v="1265"/>
        <n v="2297"/>
        <n v="1350"/>
        <n v="552"/>
        <n v="3801"/>
        <n v="1117.5"/>
        <n v="562"/>
        <n v="2299"/>
        <n v="2030"/>
        <n v="887"/>
        <n v="980"/>
        <n v="1460"/>
        <n v="1403"/>
        <n v="2723"/>
        <n v="1496"/>
        <n v="952"/>
        <n v="2755"/>
        <n v="1530"/>
        <n v="1498"/>
        <n v="1221"/>
        <n v="2076"/>
        <n v="2436"/>
        <n v="1987.5"/>
        <n v="1679"/>
        <n v="1757"/>
        <n v="2198"/>
        <n v="1743"/>
        <n v="1153"/>
        <n v="1001"/>
        <n v="1333"/>
        <n v="1884"/>
        <n v="1834"/>
        <n v="2340"/>
        <n v="1031"/>
        <n v="1262"/>
        <n v="1135"/>
        <n v="547"/>
        <n v="1582"/>
        <n v="1738.5"/>
        <n v="2215"/>
        <n v="1761"/>
        <n v="448"/>
        <n v="2181"/>
        <n v="1976"/>
        <n v="2500"/>
        <n v="1702"/>
        <n v="3513"/>
        <n v="2101"/>
        <n v="2931"/>
        <n v="1535"/>
        <n v="1404"/>
        <n v="2763"/>
        <n v="2125"/>
        <n v="1659"/>
        <n v="609"/>
        <n v="2087"/>
        <n v="1421"/>
        <n v="588"/>
        <n v="3244.5"/>
        <n v="959"/>
        <n v="2747"/>
        <n v="1645"/>
        <n v="2876"/>
        <n v="994"/>
        <n v="1118"/>
        <n v="488"/>
        <n v="1282"/>
        <n v="257"/>
        <n v="1540"/>
        <n v="490"/>
        <n v="1362"/>
        <n v="2501"/>
        <n v="708"/>
        <n v="645"/>
        <n v="1562"/>
        <n v="1283"/>
        <n v="711"/>
        <n v="1114"/>
        <n v="1259"/>
        <n v="1095"/>
        <n v="1366"/>
        <n v="2460"/>
        <n v="678"/>
        <n v="1598"/>
        <n v="2409"/>
        <n v="1934"/>
        <n v="2993"/>
        <n v="1946"/>
        <n v="598"/>
        <n v="2907"/>
        <n v="2338"/>
        <n v="386"/>
        <n v="635"/>
        <n v="574.5"/>
        <n v="381"/>
        <n v="422"/>
        <n v="2134"/>
        <n v="808"/>
        <n v="1520"/>
        <n v="1375"/>
        <n v="436.5"/>
        <n v="1094"/>
        <n v="3802.5"/>
        <n v="1666"/>
        <n v="322"/>
        <n v="2321"/>
        <n v="1857"/>
        <n v="1611"/>
        <n v="2797"/>
        <n v="334"/>
        <n v="2565"/>
        <n v="2417"/>
        <n v="3675"/>
        <n v="1227"/>
        <n v="1324"/>
        <n v="1775"/>
        <n v="245"/>
        <n v="3793.5"/>
        <n v="1307"/>
        <n v="567"/>
        <n v="2110"/>
        <n v="1269"/>
        <n v="1956"/>
        <n v="2659"/>
        <n v="1351.5"/>
        <n v="880"/>
        <n v="1867"/>
        <n v="2234"/>
        <n v="877"/>
        <n v="2071"/>
        <n v="970"/>
        <n v="1694"/>
        <n v="819"/>
        <n v="1580"/>
        <n v="521"/>
        <n v="973"/>
        <n v="1038"/>
        <n v="360"/>
        <n v="2628"/>
        <n v="2682"/>
        <n v="1630.5"/>
        <n v="306"/>
        <n v="2328"/>
        <n v="3445.5"/>
        <n v="1482"/>
        <n v="2313"/>
        <n v="2072"/>
        <n v="1954"/>
        <n v="591"/>
        <n v="2167"/>
        <n v="241"/>
        <n v="681"/>
        <n v="510"/>
        <n v="790"/>
        <n v="1596"/>
        <n v="2294"/>
        <n v="2665"/>
        <n v="853"/>
        <n v="341"/>
        <n v="641"/>
        <n v="2807"/>
        <n v="432"/>
        <n v="1870"/>
        <n v="579"/>
        <n v="2240"/>
        <n v="3520.5"/>
        <n v="2039"/>
        <n v="2574"/>
        <n v="707"/>
        <n v="1198"/>
        <n v="2532"/>
        <n v="384"/>
        <n v="472"/>
        <n v="1005"/>
        <n v="3199.5"/>
        <n v="1937"/>
        <n v="792"/>
        <n v="2811"/>
        <n v="2441"/>
        <n v="1560"/>
        <n v="2706"/>
        <n v="2157"/>
        <n v="873"/>
        <n v="1122"/>
        <n v="2104.5"/>
        <n v="4026"/>
        <n v="2425.5"/>
        <n v="2394"/>
        <n v="1984"/>
        <n v="2805"/>
        <n v="655"/>
        <n v="344"/>
        <n v="1808"/>
        <n v="1734"/>
        <n v="554"/>
        <n v="2935"/>
        <n v="3165"/>
        <n v="2629"/>
        <n v="1433"/>
        <n v="947"/>
        <n v="380"/>
        <n v="886"/>
        <n v="2416"/>
        <n v="2156"/>
        <n v="677"/>
        <n v="1773"/>
        <n v="2420"/>
        <n v="2734"/>
        <n v="1715"/>
        <n v="1186"/>
        <n v="3495"/>
        <n v="905"/>
        <n v="1594"/>
        <n v="1359"/>
        <n v="2150"/>
        <n v="1197"/>
        <n v="1233"/>
        <n v="1395"/>
        <n v="2109"/>
        <n v="3874.5"/>
        <n v="623"/>
        <n v="2387"/>
        <n v="270"/>
        <n v="3421.5"/>
        <n v="2548"/>
        <n v="2521.5"/>
        <n v="2661"/>
        <n v="1531"/>
        <n v="1491"/>
        <n v="2761"/>
        <n v="2567"/>
        <n v="1790"/>
        <n v="442"/>
        <n v="982.5"/>
        <n v="1298"/>
        <n v="604"/>
        <n v="2255"/>
        <n v="1249"/>
        <n v="1438.5"/>
        <n v="2641"/>
        <n v="2708"/>
        <n v="2632"/>
        <n v="1583"/>
        <n v="571"/>
        <n v="2696"/>
        <n v="1565"/>
        <n v="357"/>
        <n v="1013"/>
        <n v="3997.5"/>
        <n v="1190"/>
        <n v="660"/>
        <n v="410"/>
        <n v="2605"/>
        <n v="1770"/>
        <n v="2579"/>
        <n v="2996"/>
        <n v="280"/>
        <n v="293"/>
        <n v="278"/>
        <n v="2428"/>
        <n v="1767"/>
        <n v="1393"/>
        <n v="2015"/>
        <n v="801"/>
        <n v="1023"/>
        <n v="1010"/>
        <n v="2300"/>
        <n v="2227.5"/>
        <n v="1199"/>
        <n v="200"/>
        <n v="388"/>
        <n v="1727"/>
        <n v="260"/>
        <n v="2914"/>
        <n v="1731"/>
        <n v="700"/>
        <n v="2222"/>
        <n v="1177"/>
        <n v="1922"/>
        <n v="1575"/>
        <n v="606"/>
        <n v="269"/>
        <n v="2536"/>
        <n v="2903"/>
        <n v="2541"/>
        <n v="1281"/>
        <n v="2475"/>
        <n v="1174"/>
        <n v="2767"/>
        <n v="1085"/>
        <n v="546"/>
        <n v="1158"/>
        <n v="1614"/>
        <n v="2535"/>
        <n v="2559"/>
        <n v="267"/>
        <n v="1175"/>
        <n v="2007"/>
        <n v="914"/>
        <n v="500"/>
        <n v="2826"/>
        <n v="2438"/>
        <n v="865.5"/>
        <n v="492"/>
        <n v="2954"/>
        <n v="1368"/>
        <n v="723"/>
        <n v="1806"/>
      </sharedItems>
    </cacheField>
    <cacheField name="Manufacturing Price" numFmtId="164">
      <sharedItems containsSemiMixedTypes="0" containsString="0" containsNumber="1" containsInteger="1" minValue="3" maxValue="260"/>
    </cacheField>
    <cacheField name="Sale Price" numFmtId="164">
      <sharedItems containsSemiMixedTypes="0" containsString="0" containsNumber="1" containsInteger="1" minValue="7" maxValue="350"/>
    </cacheField>
    <cacheField name="Gross Sales" numFmtId="164">
      <sharedItems containsSemiMixedTypes="0" containsString="0" containsNumber="1" minValue="1799" maxValue="1207500"/>
    </cacheField>
    <cacheField name="Discounts" numFmtId="164">
      <sharedItems containsSemiMixedTypes="0" containsString="0" containsNumber="1" minValue="0" maxValue="149677.5"/>
    </cacheField>
    <cacheField name=" Sales" numFmtId="164">
      <sharedItems containsSemiMixedTypes="0" containsString="0" containsNumber="1" minValue="1655.08" maxValue="1159200"/>
    </cacheField>
    <cacheField name="COGS" numFmtId="164">
      <sharedItems containsSemiMixedTypes="0" containsString="0" containsNumber="1" minValue="918" maxValue="950625"/>
    </cacheField>
    <cacheField name="Profit" numFmtId="164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 count="16">
        <d v="2014-01-01T00:00:00"/>
        <d v="2014-06-01T00:00:00"/>
        <d v="2014-12-01T00:00:00"/>
        <d v="2014-03-01T00:00:00"/>
        <d v="2014-07-01T00:00:00"/>
        <d v="2014-08-01T00:00:00"/>
        <d v="2014-09-01T00:00:00"/>
        <d v="2013-10-01T00:00:00"/>
        <d v="2014-02-01T00:00:00"/>
        <d v="2013-09-01T00:00:00"/>
        <d v="2014-10-01T00:00:00"/>
        <d v="2013-11-01T00:00:00"/>
        <d v="2013-12-01T00:00:00"/>
        <d v="2014-04-01T00:00:00"/>
        <d v="2014-05-01T00:00:00"/>
        <d v="2014-11-01T00:00:00"/>
      </sharedItems>
      <fieldGroup par="17" base="12">
        <rangePr groupBy="months" startDate="2013-09-01T00:00:00" endDate="2014-12-02T00:00:00"/>
        <groupItems count="14">
          <s v="&lt;01-09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14"/>
        </groupItems>
      </fieldGroup>
    </cacheField>
    <cacheField name="Month Number" numFmtId="1">
      <sharedItems containsSemiMixedTypes="0" containsString="0" containsNumber="1" containsInteger="1" minValue="1" maxValue="12"/>
    </cacheField>
    <cacheField name="Month Name" numFmtId="164">
      <sharedItems count="12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</sharedItems>
    </cacheField>
    <cacheField name="Year" numFmtId="49">
      <sharedItems count="2">
        <s v="2014"/>
        <s v="2013"/>
      </sharedItems>
    </cacheField>
    <cacheField name="Quarters" numFmtId="0" databaseField="0">
      <fieldGroup base="12">
        <rangePr groupBy="quarters" startDate="2013-09-01T00:00:00" endDate="2014-12-02T00:00:00"/>
        <groupItems count="6">
          <s v="&lt;01-09-2013"/>
          <s v="Qtr1"/>
          <s v="Qtr2"/>
          <s v="Qtr3"/>
          <s v="Qtr4"/>
          <s v="&gt;02-12-2014"/>
        </groupItems>
      </fieldGroup>
    </cacheField>
    <cacheField name="Years" numFmtId="0" databaseField="0">
      <fieldGroup base="12">
        <rangePr groupBy="years" startDate="2013-09-01T00:00:00" endDate="2014-12-02T00:00:00"/>
        <groupItems count="4">
          <s v="&lt;01-09-2013"/>
          <s v="2013"/>
          <s v="2014"/>
          <s v="&gt;02-12-201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0">
  <r>
    <x v="0"/>
    <x v="0"/>
    <x v="0"/>
    <x v="0"/>
    <x v="0"/>
    <n v="3"/>
    <n v="20"/>
    <n v="32370"/>
    <n v="0"/>
    <n v="32370"/>
    <n v="16185"/>
    <n v="16185"/>
    <x v="0"/>
    <n v="1"/>
    <x v="0"/>
    <x v="0"/>
  </r>
  <r>
    <x v="0"/>
    <x v="1"/>
    <x v="0"/>
    <x v="0"/>
    <x v="1"/>
    <n v="3"/>
    <n v="20"/>
    <n v="26420"/>
    <n v="0"/>
    <n v="26420"/>
    <n v="13210"/>
    <n v="13210"/>
    <x v="0"/>
    <n v="1"/>
    <x v="0"/>
    <x v="0"/>
  </r>
  <r>
    <x v="1"/>
    <x v="2"/>
    <x v="0"/>
    <x v="0"/>
    <x v="2"/>
    <n v="3"/>
    <n v="15"/>
    <n v="32670"/>
    <n v="0"/>
    <n v="32670"/>
    <n v="21780"/>
    <n v="10890"/>
    <x v="1"/>
    <n v="6"/>
    <x v="1"/>
    <x v="0"/>
  </r>
  <r>
    <x v="1"/>
    <x v="1"/>
    <x v="0"/>
    <x v="0"/>
    <x v="3"/>
    <n v="3"/>
    <n v="15"/>
    <n v="13320"/>
    <n v="0"/>
    <n v="13320"/>
    <n v="8880"/>
    <n v="4440"/>
    <x v="1"/>
    <n v="6"/>
    <x v="1"/>
    <x v="0"/>
  </r>
  <r>
    <x v="1"/>
    <x v="3"/>
    <x v="0"/>
    <x v="0"/>
    <x v="4"/>
    <n v="3"/>
    <n v="15"/>
    <n v="37050"/>
    <n v="0"/>
    <n v="37050"/>
    <n v="24700"/>
    <n v="12350"/>
    <x v="1"/>
    <n v="6"/>
    <x v="1"/>
    <x v="0"/>
  </r>
  <r>
    <x v="0"/>
    <x v="1"/>
    <x v="0"/>
    <x v="0"/>
    <x v="5"/>
    <n v="3"/>
    <n v="350"/>
    <n v="529550"/>
    <n v="0"/>
    <n v="529550"/>
    <n v="393380"/>
    <n v="136170"/>
    <x v="2"/>
    <n v="12"/>
    <x v="2"/>
    <x v="0"/>
  </r>
  <r>
    <x v="1"/>
    <x v="1"/>
    <x v="1"/>
    <x v="0"/>
    <x v="6"/>
    <n v="5"/>
    <n v="15"/>
    <n v="13815"/>
    <n v="0"/>
    <n v="13815"/>
    <n v="9210"/>
    <n v="4605"/>
    <x v="3"/>
    <n v="3"/>
    <x v="3"/>
    <x v="0"/>
  </r>
  <r>
    <x v="2"/>
    <x v="0"/>
    <x v="1"/>
    <x v="0"/>
    <x v="7"/>
    <n v="5"/>
    <n v="12"/>
    <n v="30216"/>
    <n v="0"/>
    <n v="30216"/>
    <n v="7554"/>
    <n v="22662"/>
    <x v="1"/>
    <n v="6"/>
    <x v="1"/>
    <x v="0"/>
  </r>
  <r>
    <x v="0"/>
    <x v="2"/>
    <x v="1"/>
    <x v="0"/>
    <x v="8"/>
    <n v="5"/>
    <n v="20"/>
    <n v="37980"/>
    <n v="0"/>
    <n v="37980"/>
    <n v="18990"/>
    <n v="18990"/>
    <x v="1"/>
    <n v="6"/>
    <x v="1"/>
    <x v="0"/>
  </r>
  <r>
    <x v="2"/>
    <x v="1"/>
    <x v="1"/>
    <x v="0"/>
    <x v="9"/>
    <n v="5"/>
    <n v="12"/>
    <n v="18540"/>
    <n v="0"/>
    <n v="18540"/>
    <n v="4635"/>
    <n v="13905"/>
    <x v="1"/>
    <n v="6"/>
    <x v="1"/>
    <x v="0"/>
  </r>
  <r>
    <x v="1"/>
    <x v="3"/>
    <x v="1"/>
    <x v="0"/>
    <x v="4"/>
    <n v="5"/>
    <n v="15"/>
    <n v="37050"/>
    <n v="0"/>
    <n v="37050"/>
    <n v="24700"/>
    <n v="12350"/>
    <x v="1"/>
    <n v="6"/>
    <x v="1"/>
    <x v="0"/>
  </r>
  <r>
    <x v="3"/>
    <x v="0"/>
    <x v="1"/>
    <x v="0"/>
    <x v="10"/>
    <n v="5"/>
    <n v="125"/>
    <n v="333187.5"/>
    <n v="0"/>
    <n v="333187.5"/>
    <n v="319860"/>
    <n v="13327.5"/>
    <x v="4"/>
    <n v="7"/>
    <x v="4"/>
    <x v="0"/>
  </r>
  <r>
    <x v="4"/>
    <x v="3"/>
    <x v="1"/>
    <x v="0"/>
    <x v="11"/>
    <n v="5"/>
    <n v="300"/>
    <n v="287400"/>
    <n v="0"/>
    <n v="287400"/>
    <n v="239500"/>
    <n v="47900"/>
    <x v="5"/>
    <n v="8"/>
    <x v="5"/>
    <x v="0"/>
  </r>
  <r>
    <x v="0"/>
    <x v="1"/>
    <x v="1"/>
    <x v="0"/>
    <x v="12"/>
    <n v="5"/>
    <n v="7"/>
    <n v="15022"/>
    <n v="0"/>
    <n v="15022"/>
    <n v="10730"/>
    <n v="4292"/>
    <x v="6"/>
    <n v="9"/>
    <x v="6"/>
    <x v="0"/>
  </r>
  <r>
    <x v="3"/>
    <x v="0"/>
    <x v="1"/>
    <x v="0"/>
    <x v="13"/>
    <n v="5"/>
    <n v="125"/>
    <n v="43125"/>
    <n v="0"/>
    <n v="43125"/>
    <n v="41400"/>
    <n v="1725"/>
    <x v="7"/>
    <n v="10"/>
    <x v="7"/>
    <x v="1"/>
  </r>
  <r>
    <x v="1"/>
    <x v="4"/>
    <x v="1"/>
    <x v="0"/>
    <x v="14"/>
    <n v="5"/>
    <n v="15"/>
    <n v="9225"/>
    <n v="0"/>
    <n v="9225"/>
    <n v="6150"/>
    <n v="3075"/>
    <x v="2"/>
    <n v="12"/>
    <x v="2"/>
    <x v="0"/>
  </r>
  <r>
    <x v="0"/>
    <x v="0"/>
    <x v="2"/>
    <x v="0"/>
    <x v="15"/>
    <n v="10"/>
    <n v="20"/>
    <n v="5840"/>
    <n v="0"/>
    <n v="5840"/>
    <n v="2920"/>
    <n v="2920"/>
    <x v="8"/>
    <n v="2"/>
    <x v="8"/>
    <x v="0"/>
  </r>
  <r>
    <x v="1"/>
    <x v="3"/>
    <x v="2"/>
    <x v="0"/>
    <x v="16"/>
    <n v="10"/>
    <n v="15"/>
    <n v="14610"/>
    <n v="0"/>
    <n v="14610"/>
    <n v="9740"/>
    <n v="4870"/>
    <x v="8"/>
    <n v="2"/>
    <x v="8"/>
    <x v="0"/>
  </r>
  <r>
    <x v="2"/>
    <x v="0"/>
    <x v="2"/>
    <x v="0"/>
    <x v="7"/>
    <n v="10"/>
    <n v="12"/>
    <n v="30216"/>
    <n v="0"/>
    <n v="30216"/>
    <n v="7554"/>
    <n v="22662"/>
    <x v="1"/>
    <n v="6"/>
    <x v="1"/>
    <x v="0"/>
  </r>
  <r>
    <x v="0"/>
    <x v="1"/>
    <x v="2"/>
    <x v="0"/>
    <x v="17"/>
    <n v="10"/>
    <n v="350"/>
    <n v="352100"/>
    <n v="0"/>
    <n v="352100"/>
    <n v="261560"/>
    <n v="90540"/>
    <x v="1"/>
    <n v="6"/>
    <x v="1"/>
    <x v="0"/>
  </r>
  <r>
    <x v="2"/>
    <x v="1"/>
    <x v="2"/>
    <x v="0"/>
    <x v="18"/>
    <n v="10"/>
    <n v="12"/>
    <n v="4404"/>
    <n v="0"/>
    <n v="4404"/>
    <n v="1101"/>
    <n v="3303"/>
    <x v="4"/>
    <n v="7"/>
    <x v="4"/>
    <x v="0"/>
  </r>
  <r>
    <x v="0"/>
    <x v="3"/>
    <x v="2"/>
    <x v="0"/>
    <x v="19"/>
    <n v="10"/>
    <n v="7"/>
    <n v="6181"/>
    <n v="0"/>
    <n v="6181"/>
    <n v="4415"/>
    <n v="1766"/>
    <x v="5"/>
    <n v="8"/>
    <x v="5"/>
    <x v="0"/>
  </r>
  <r>
    <x v="1"/>
    <x v="2"/>
    <x v="2"/>
    <x v="0"/>
    <x v="20"/>
    <n v="10"/>
    <n v="15"/>
    <n v="8235"/>
    <n v="0"/>
    <n v="8235"/>
    <n v="5490"/>
    <n v="2745"/>
    <x v="9"/>
    <n v="9"/>
    <x v="6"/>
    <x v="1"/>
  </r>
  <r>
    <x v="4"/>
    <x v="3"/>
    <x v="2"/>
    <x v="0"/>
    <x v="21"/>
    <n v="10"/>
    <n v="300"/>
    <n v="236400"/>
    <n v="0"/>
    <n v="236400"/>
    <n v="197000"/>
    <n v="39400"/>
    <x v="9"/>
    <n v="9"/>
    <x v="6"/>
    <x v="1"/>
  </r>
  <r>
    <x v="1"/>
    <x v="3"/>
    <x v="2"/>
    <x v="0"/>
    <x v="22"/>
    <n v="10"/>
    <n v="15"/>
    <n v="37080"/>
    <n v="0"/>
    <n v="37080"/>
    <n v="24720"/>
    <n v="12360"/>
    <x v="6"/>
    <n v="9"/>
    <x v="6"/>
    <x v="0"/>
  </r>
  <r>
    <x v="0"/>
    <x v="4"/>
    <x v="2"/>
    <x v="0"/>
    <x v="23"/>
    <n v="10"/>
    <n v="7"/>
    <n v="8001"/>
    <n v="0"/>
    <n v="8001"/>
    <n v="5715"/>
    <n v="2286"/>
    <x v="10"/>
    <n v="10"/>
    <x v="7"/>
    <x v="0"/>
  </r>
  <r>
    <x v="0"/>
    <x v="0"/>
    <x v="2"/>
    <x v="0"/>
    <x v="24"/>
    <n v="10"/>
    <n v="350"/>
    <n v="603750"/>
    <n v="0"/>
    <n v="603750"/>
    <n v="448500"/>
    <n v="155250"/>
    <x v="11"/>
    <n v="11"/>
    <x v="9"/>
    <x v="1"/>
  </r>
  <r>
    <x v="2"/>
    <x v="4"/>
    <x v="2"/>
    <x v="0"/>
    <x v="25"/>
    <n v="10"/>
    <n v="12"/>
    <n v="10944"/>
    <n v="0"/>
    <n v="10944"/>
    <n v="2736"/>
    <n v="8208"/>
    <x v="11"/>
    <n v="11"/>
    <x v="9"/>
    <x v="1"/>
  </r>
  <r>
    <x v="1"/>
    <x v="0"/>
    <x v="2"/>
    <x v="0"/>
    <x v="26"/>
    <n v="10"/>
    <n v="15"/>
    <n v="32280"/>
    <n v="0"/>
    <n v="32280"/>
    <n v="21520"/>
    <n v="10760"/>
    <x v="12"/>
    <n v="12"/>
    <x v="2"/>
    <x v="1"/>
  </r>
  <r>
    <x v="0"/>
    <x v="0"/>
    <x v="2"/>
    <x v="0"/>
    <x v="27"/>
    <n v="10"/>
    <n v="20"/>
    <n v="36340"/>
    <n v="0"/>
    <n v="36340"/>
    <n v="18170"/>
    <n v="18170"/>
    <x v="2"/>
    <n v="12"/>
    <x v="2"/>
    <x v="0"/>
  </r>
  <r>
    <x v="0"/>
    <x v="1"/>
    <x v="2"/>
    <x v="0"/>
    <x v="5"/>
    <n v="10"/>
    <n v="350"/>
    <n v="529550"/>
    <n v="0"/>
    <n v="529550"/>
    <n v="393380"/>
    <n v="136170"/>
    <x v="2"/>
    <n v="12"/>
    <x v="2"/>
    <x v="0"/>
  </r>
  <r>
    <x v="0"/>
    <x v="3"/>
    <x v="3"/>
    <x v="0"/>
    <x v="28"/>
    <n v="120"/>
    <n v="7"/>
    <n v="10451"/>
    <n v="0"/>
    <n v="10451"/>
    <n v="7465"/>
    <n v="2986"/>
    <x v="0"/>
    <n v="1"/>
    <x v="0"/>
    <x v="0"/>
  </r>
  <r>
    <x v="3"/>
    <x v="2"/>
    <x v="3"/>
    <x v="0"/>
    <x v="29"/>
    <n v="120"/>
    <n v="125"/>
    <n v="225500"/>
    <n v="0"/>
    <n v="225500"/>
    <n v="216480"/>
    <n v="9020"/>
    <x v="8"/>
    <n v="2"/>
    <x v="8"/>
    <x v="0"/>
  </r>
  <r>
    <x v="2"/>
    <x v="1"/>
    <x v="3"/>
    <x v="0"/>
    <x v="30"/>
    <n v="120"/>
    <n v="12"/>
    <n v="25932"/>
    <n v="0"/>
    <n v="25932"/>
    <n v="6483"/>
    <n v="19449"/>
    <x v="3"/>
    <n v="3"/>
    <x v="3"/>
    <x v="0"/>
  </r>
  <r>
    <x v="0"/>
    <x v="1"/>
    <x v="3"/>
    <x v="0"/>
    <x v="17"/>
    <n v="120"/>
    <n v="350"/>
    <n v="352100"/>
    <n v="0"/>
    <n v="352100"/>
    <n v="261560"/>
    <n v="90540"/>
    <x v="1"/>
    <n v="6"/>
    <x v="1"/>
    <x v="0"/>
  </r>
  <r>
    <x v="2"/>
    <x v="1"/>
    <x v="3"/>
    <x v="0"/>
    <x v="9"/>
    <n v="120"/>
    <n v="12"/>
    <n v="18540"/>
    <n v="0"/>
    <n v="18540"/>
    <n v="4635"/>
    <n v="13905"/>
    <x v="1"/>
    <n v="6"/>
    <x v="1"/>
    <x v="0"/>
  </r>
  <r>
    <x v="3"/>
    <x v="4"/>
    <x v="3"/>
    <x v="0"/>
    <x v="31"/>
    <n v="120"/>
    <n v="125"/>
    <n v="352625"/>
    <n v="0"/>
    <n v="352625"/>
    <n v="338520"/>
    <n v="14105"/>
    <x v="5"/>
    <n v="8"/>
    <x v="5"/>
    <x v="0"/>
  </r>
  <r>
    <x v="3"/>
    <x v="0"/>
    <x v="3"/>
    <x v="0"/>
    <x v="13"/>
    <n v="120"/>
    <n v="125"/>
    <n v="43125"/>
    <n v="0"/>
    <n v="43125"/>
    <n v="41400"/>
    <n v="1725"/>
    <x v="7"/>
    <n v="10"/>
    <x v="7"/>
    <x v="1"/>
  </r>
  <r>
    <x v="4"/>
    <x v="0"/>
    <x v="4"/>
    <x v="0"/>
    <x v="32"/>
    <n v="250"/>
    <n v="300"/>
    <n v="600300"/>
    <n v="0"/>
    <n v="600300"/>
    <n v="500250"/>
    <n v="100050"/>
    <x v="8"/>
    <n v="2"/>
    <x v="8"/>
    <x v="0"/>
  </r>
  <r>
    <x v="2"/>
    <x v="1"/>
    <x v="4"/>
    <x v="0"/>
    <x v="33"/>
    <n v="250"/>
    <n v="12"/>
    <n v="34056"/>
    <n v="0"/>
    <n v="34056"/>
    <n v="8514"/>
    <n v="25542"/>
    <x v="13"/>
    <n v="4"/>
    <x v="10"/>
    <x v="0"/>
  </r>
  <r>
    <x v="1"/>
    <x v="2"/>
    <x v="4"/>
    <x v="0"/>
    <x v="2"/>
    <n v="250"/>
    <n v="15"/>
    <n v="32670"/>
    <n v="0"/>
    <n v="32670"/>
    <n v="21780"/>
    <n v="10890"/>
    <x v="1"/>
    <n v="6"/>
    <x v="1"/>
    <x v="0"/>
  </r>
  <r>
    <x v="1"/>
    <x v="1"/>
    <x v="4"/>
    <x v="0"/>
    <x v="3"/>
    <n v="250"/>
    <n v="15"/>
    <n v="13320"/>
    <n v="0"/>
    <n v="13320"/>
    <n v="8880"/>
    <n v="4440"/>
    <x v="1"/>
    <n v="6"/>
    <x v="1"/>
    <x v="0"/>
  </r>
  <r>
    <x v="0"/>
    <x v="2"/>
    <x v="4"/>
    <x v="0"/>
    <x v="34"/>
    <n v="250"/>
    <n v="350"/>
    <n v="534450"/>
    <n v="0"/>
    <n v="534450"/>
    <n v="397020"/>
    <n v="137430"/>
    <x v="9"/>
    <n v="9"/>
    <x v="6"/>
    <x v="1"/>
  </r>
  <r>
    <x v="4"/>
    <x v="2"/>
    <x v="4"/>
    <x v="0"/>
    <x v="35"/>
    <n v="250"/>
    <n v="300"/>
    <n v="645300"/>
    <n v="0"/>
    <n v="645300"/>
    <n v="537750"/>
    <n v="107550"/>
    <x v="6"/>
    <n v="9"/>
    <x v="6"/>
    <x v="0"/>
  </r>
  <r>
    <x v="0"/>
    <x v="0"/>
    <x v="4"/>
    <x v="0"/>
    <x v="27"/>
    <n v="250"/>
    <n v="20"/>
    <n v="36340"/>
    <n v="0"/>
    <n v="36340"/>
    <n v="18170"/>
    <n v="18170"/>
    <x v="2"/>
    <n v="12"/>
    <x v="2"/>
    <x v="0"/>
  </r>
  <r>
    <x v="0"/>
    <x v="2"/>
    <x v="5"/>
    <x v="0"/>
    <x v="36"/>
    <n v="260"/>
    <n v="350"/>
    <n v="962500"/>
    <n v="0"/>
    <n v="962500"/>
    <n v="715000"/>
    <n v="247500"/>
    <x v="8"/>
    <n v="2"/>
    <x v="8"/>
    <x v="0"/>
  </r>
  <r>
    <x v="2"/>
    <x v="4"/>
    <x v="5"/>
    <x v="0"/>
    <x v="37"/>
    <n v="260"/>
    <n v="12"/>
    <n v="23436"/>
    <n v="0"/>
    <n v="23436"/>
    <n v="5859"/>
    <n v="17577"/>
    <x v="13"/>
    <n v="4"/>
    <x v="10"/>
    <x v="0"/>
  </r>
  <r>
    <x v="3"/>
    <x v="1"/>
    <x v="5"/>
    <x v="0"/>
    <x v="38"/>
    <n v="260"/>
    <n v="125"/>
    <n v="527437.5"/>
    <n v="0"/>
    <n v="527437.5"/>
    <n v="506340"/>
    <n v="21097.5"/>
    <x v="13"/>
    <n v="4"/>
    <x v="10"/>
    <x v="0"/>
  </r>
  <r>
    <x v="0"/>
    <x v="2"/>
    <x v="5"/>
    <x v="0"/>
    <x v="8"/>
    <n v="260"/>
    <n v="20"/>
    <n v="37980"/>
    <n v="0"/>
    <n v="37980"/>
    <n v="18990"/>
    <n v="18990"/>
    <x v="1"/>
    <n v="6"/>
    <x v="1"/>
    <x v="0"/>
  </r>
  <r>
    <x v="0"/>
    <x v="1"/>
    <x v="5"/>
    <x v="0"/>
    <x v="39"/>
    <n v="260"/>
    <n v="7"/>
    <n v="11802"/>
    <n v="0"/>
    <n v="11802"/>
    <n v="8430"/>
    <n v="3372"/>
    <x v="4"/>
    <n v="7"/>
    <x v="4"/>
    <x v="0"/>
  </r>
  <r>
    <x v="2"/>
    <x v="4"/>
    <x v="5"/>
    <x v="0"/>
    <x v="40"/>
    <n v="260"/>
    <n v="12"/>
    <n v="25692"/>
    <n v="0"/>
    <n v="25692"/>
    <n v="6423"/>
    <n v="19269"/>
    <x v="5"/>
    <n v="8"/>
    <x v="5"/>
    <x v="0"/>
  </r>
  <r>
    <x v="0"/>
    <x v="4"/>
    <x v="5"/>
    <x v="0"/>
    <x v="23"/>
    <n v="260"/>
    <n v="7"/>
    <n v="8001"/>
    <n v="0"/>
    <n v="8001"/>
    <n v="5715"/>
    <n v="2286"/>
    <x v="10"/>
    <n v="10"/>
    <x v="7"/>
    <x v="0"/>
  </r>
  <r>
    <x v="1"/>
    <x v="4"/>
    <x v="5"/>
    <x v="0"/>
    <x v="14"/>
    <n v="260"/>
    <n v="15"/>
    <n v="9225"/>
    <n v="0"/>
    <n v="9225"/>
    <n v="6150"/>
    <n v="3075"/>
    <x v="2"/>
    <n v="12"/>
    <x v="2"/>
    <x v="0"/>
  </r>
  <r>
    <x v="0"/>
    <x v="2"/>
    <x v="2"/>
    <x v="1"/>
    <x v="41"/>
    <n v="10"/>
    <n v="7"/>
    <n v="27615"/>
    <n v="276.14999999999998"/>
    <n v="27338.850000000002"/>
    <n v="19725"/>
    <n v="7613.8500000000022"/>
    <x v="0"/>
    <n v="1"/>
    <x v="0"/>
    <x v="0"/>
  </r>
  <r>
    <x v="1"/>
    <x v="2"/>
    <x v="2"/>
    <x v="1"/>
    <x v="42"/>
    <n v="10"/>
    <n v="15"/>
    <n v="34440"/>
    <n v="344.4"/>
    <n v="34095.599999999999"/>
    <n v="22960"/>
    <n v="11135.599999999999"/>
    <x v="8"/>
    <n v="2"/>
    <x v="8"/>
    <x v="0"/>
  </r>
  <r>
    <x v="0"/>
    <x v="2"/>
    <x v="2"/>
    <x v="1"/>
    <x v="43"/>
    <n v="10"/>
    <n v="7"/>
    <n v="7210"/>
    <n v="72.099999999999994"/>
    <n v="7137.9"/>
    <n v="5150"/>
    <n v="1987.8999999999996"/>
    <x v="14"/>
    <n v="5"/>
    <x v="11"/>
    <x v="0"/>
  </r>
  <r>
    <x v="0"/>
    <x v="2"/>
    <x v="3"/>
    <x v="1"/>
    <x v="44"/>
    <n v="120"/>
    <n v="7"/>
    <n v="4473"/>
    <n v="44.73"/>
    <n v="4428.2700000000004"/>
    <n v="3195"/>
    <n v="1233.2700000000004"/>
    <x v="15"/>
    <n v="11"/>
    <x v="9"/>
    <x v="0"/>
  </r>
  <r>
    <x v="0"/>
    <x v="0"/>
    <x v="4"/>
    <x v="1"/>
    <x v="45"/>
    <n v="250"/>
    <n v="7"/>
    <n v="9282"/>
    <n v="92.82"/>
    <n v="9189.18"/>
    <n v="6630"/>
    <n v="2559.1800000000003"/>
    <x v="3"/>
    <n v="3"/>
    <x v="3"/>
    <x v="0"/>
  </r>
  <r>
    <x v="2"/>
    <x v="4"/>
    <x v="0"/>
    <x v="1"/>
    <x v="46"/>
    <n v="3"/>
    <n v="12"/>
    <n v="22296"/>
    <n v="222.96"/>
    <n v="22073.040000000001"/>
    <n v="5574"/>
    <n v="16499.04"/>
    <x v="8"/>
    <n v="2"/>
    <x v="8"/>
    <x v="0"/>
  </r>
  <r>
    <x v="0"/>
    <x v="3"/>
    <x v="0"/>
    <x v="1"/>
    <x v="47"/>
    <n v="3"/>
    <n v="350"/>
    <n v="423500"/>
    <n v="4235"/>
    <n v="419265"/>
    <n v="314600"/>
    <n v="104665"/>
    <x v="3"/>
    <n v="3"/>
    <x v="3"/>
    <x v="0"/>
  </r>
  <r>
    <x v="0"/>
    <x v="4"/>
    <x v="0"/>
    <x v="1"/>
    <x v="48"/>
    <n v="3"/>
    <n v="7"/>
    <n v="17703"/>
    <n v="177.03"/>
    <n v="17525.97"/>
    <n v="12645"/>
    <n v="4880.9699999999993"/>
    <x v="4"/>
    <n v="7"/>
    <x v="4"/>
    <x v="0"/>
  </r>
  <r>
    <x v="2"/>
    <x v="0"/>
    <x v="0"/>
    <x v="1"/>
    <x v="49"/>
    <n v="3"/>
    <n v="12"/>
    <n v="17340"/>
    <n v="173.4"/>
    <n v="17166.599999999999"/>
    <n v="4335"/>
    <n v="12831.599999999999"/>
    <x v="6"/>
    <n v="9"/>
    <x v="6"/>
    <x v="0"/>
  </r>
  <r>
    <x v="3"/>
    <x v="4"/>
    <x v="0"/>
    <x v="1"/>
    <x v="50"/>
    <n v="3"/>
    <n v="125"/>
    <n v="41250"/>
    <n v="412.5"/>
    <n v="40837.5"/>
    <n v="39600"/>
    <n v="1237.5"/>
    <x v="9"/>
    <n v="9"/>
    <x v="6"/>
    <x v="1"/>
  </r>
  <r>
    <x v="2"/>
    <x v="2"/>
    <x v="0"/>
    <x v="1"/>
    <x v="51"/>
    <n v="3"/>
    <n v="12"/>
    <n v="32052"/>
    <n v="320.52"/>
    <n v="31731.48"/>
    <n v="8013"/>
    <n v="23718.48"/>
    <x v="6"/>
    <n v="9"/>
    <x v="6"/>
    <x v="0"/>
  </r>
  <r>
    <x v="2"/>
    <x v="1"/>
    <x v="0"/>
    <x v="1"/>
    <x v="52"/>
    <n v="3"/>
    <n v="12"/>
    <n v="9192"/>
    <n v="91.92"/>
    <n v="9100.08"/>
    <n v="2298"/>
    <n v="6802.08"/>
    <x v="7"/>
    <n v="10"/>
    <x v="7"/>
    <x v="1"/>
  </r>
  <r>
    <x v="4"/>
    <x v="3"/>
    <x v="0"/>
    <x v="1"/>
    <x v="53"/>
    <n v="3"/>
    <n v="300"/>
    <n v="148200"/>
    <n v="1482"/>
    <n v="146718"/>
    <n v="123500"/>
    <n v="23218"/>
    <x v="7"/>
    <n v="10"/>
    <x v="7"/>
    <x v="1"/>
  </r>
  <r>
    <x v="0"/>
    <x v="3"/>
    <x v="0"/>
    <x v="1"/>
    <x v="54"/>
    <n v="3"/>
    <n v="350"/>
    <n v="488950"/>
    <n v="4889.5"/>
    <n v="484060.5"/>
    <n v="363220"/>
    <n v="120840.5"/>
    <x v="10"/>
    <n v="10"/>
    <x v="7"/>
    <x v="0"/>
  </r>
  <r>
    <x v="0"/>
    <x v="2"/>
    <x v="0"/>
    <x v="1"/>
    <x v="55"/>
    <n v="3"/>
    <n v="350"/>
    <n v="754250"/>
    <n v="7542.5"/>
    <n v="746707.5"/>
    <n v="560300"/>
    <n v="186407.5"/>
    <x v="2"/>
    <n v="12"/>
    <x v="2"/>
    <x v="0"/>
  </r>
  <r>
    <x v="1"/>
    <x v="3"/>
    <x v="1"/>
    <x v="1"/>
    <x v="56"/>
    <n v="5"/>
    <n v="15"/>
    <n v="33210"/>
    <n v="332.1"/>
    <n v="32877.9"/>
    <n v="22140"/>
    <n v="10737.900000000001"/>
    <x v="3"/>
    <n v="3"/>
    <x v="3"/>
    <x v="0"/>
  </r>
  <r>
    <x v="4"/>
    <x v="4"/>
    <x v="1"/>
    <x v="1"/>
    <x v="57"/>
    <n v="5"/>
    <n v="300"/>
    <n v="690300"/>
    <n v="6903"/>
    <n v="683397"/>
    <n v="575250"/>
    <n v="108147"/>
    <x v="13"/>
    <n v="4"/>
    <x v="10"/>
    <x v="0"/>
  </r>
  <r>
    <x v="0"/>
    <x v="2"/>
    <x v="1"/>
    <x v="1"/>
    <x v="58"/>
    <n v="5"/>
    <n v="20"/>
    <n v="27510"/>
    <n v="275.10000000000002"/>
    <n v="27234.899999999998"/>
    <n v="13755"/>
    <n v="13479.899999999998"/>
    <x v="4"/>
    <n v="7"/>
    <x v="4"/>
    <x v="0"/>
  </r>
  <r>
    <x v="0"/>
    <x v="0"/>
    <x v="1"/>
    <x v="1"/>
    <x v="59"/>
    <n v="5"/>
    <n v="7"/>
    <n v="12810"/>
    <n v="128.1"/>
    <n v="12681.9"/>
    <n v="9150"/>
    <n v="3531.8999999999996"/>
    <x v="5"/>
    <n v="8"/>
    <x v="5"/>
    <x v="0"/>
  </r>
  <r>
    <x v="4"/>
    <x v="4"/>
    <x v="1"/>
    <x v="1"/>
    <x v="60"/>
    <n v="5"/>
    <n v="300"/>
    <n v="749400"/>
    <n v="7494"/>
    <n v="741906"/>
    <n v="624500"/>
    <n v="117406"/>
    <x v="9"/>
    <n v="9"/>
    <x v="6"/>
    <x v="1"/>
  </r>
  <r>
    <x v="3"/>
    <x v="4"/>
    <x v="1"/>
    <x v="1"/>
    <x v="61"/>
    <n v="5"/>
    <n v="125"/>
    <n v="82875"/>
    <n v="828.75"/>
    <n v="82046.25"/>
    <n v="79560"/>
    <n v="2486.25"/>
    <x v="7"/>
    <n v="10"/>
    <x v="7"/>
    <x v="1"/>
  </r>
  <r>
    <x v="1"/>
    <x v="4"/>
    <x v="2"/>
    <x v="1"/>
    <x v="62"/>
    <n v="10"/>
    <n v="15"/>
    <n v="22710"/>
    <n v="227.1"/>
    <n v="22482.9"/>
    <n v="15140"/>
    <n v="7342.9000000000015"/>
    <x v="8"/>
    <n v="2"/>
    <x v="8"/>
    <x v="0"/>
  </r>
  <r>
    <x v="0"/>
    <x v="4"/>
    <x v="2"/>
    <x v="1"/>
    <x v="63"/>
    <n v="10"/>
    <n v="7"/>
    <n v="31447.5"/>
    <n v="314.47500000000002"/>
    <n v="31133.024999999998"/>
    <n v="22462.5"/>
    <n v="8670.5249999999978"/>
    <x v="13"/>
    <n v="4"/>
    <x v="10"/>
    <x v="0"/>
  </r>
  <r>
    <x v="3"/>
    <x v="4"/>
    <x v="2"/>
    <x v="1"/>
    <x v="64"/>
    <n v="10"/>
    <n v="125"/>
    <n v="90875"/>
    <n v="908.75"/>
    <n v="89966.25"/>
    <n v="87240"/>
    <n v="2726.25"/>
    <x v="1"/>
    <n v="6"/>
    <x v="1"/>
    <x v="0"/>
  </r>
  <r>
    <x v="3"/>
    <x v="2"/>
    <x v="2"/>
    <x v="1"/>
    <x v="65"/>
    <n v="10"/>
    <n v="125"/>
    <n v="98375"/>
    <n v="983.75"/>
    <n v="97391.25"/>
    <n v="94440"/>
    <n v="2951.25"/>
    <x v="1"/>
    <n v="6"/>
    <x v="1"/>
    <x v="0"/>
  </r>
  <r>
    <x v="3"/>
    <x v="3"/>
    <x v="2"/>
    <x v="1"/>
    <x v="66"/>
    <n v="10"/>
    <n v="125"/>
    <n v="227875"/>
    <n v="2278.75"/>
    <n v="225596.25"/>
    <n v="218760"/>
    <n v="6836.25"/>
    <x v="4"/>
    <n v="7"/>
    <x v="4"/>
    <x v="0"/>
  </r>
  <r>
    <x v="1"/>
    <x v="1"/>
    <x v="2"/>
    <x v="1"/>
    <x v="67"/>
    <n v="10"/>
    <n v="15"/>
    <n v="11205"/>
    <n v="112.05"/>
    <n v="11092.95"/>
    <n v="7470"/>
    <n v="3622.9500000000007"/>
    <x v="6"/>
    <n v="9"/>
    <x v="6"/>
    <x v="0"/>
  </r>
  <r>
    <x v="2"/>
    <x v="1"/>
    <x v="2"/>
    <x v="1"/>
    <x v="52"/>
    <n v="10"/>
    <n v="12"/>
    <n v="9192"/>
    <n v="91.92"/>
    <n v="9100.08"/>
    <n v="2298"/>
    <n v="6802.08"/>
    <x v="7"/>
    <n v="10"/>
    <x v="7"/>
    <x v="1"/>
  </r>
  <r>
    <x v="4"/>
    <x v="4"/>
    <x v="2"/>
    <x v="1"/>
    <x v="68"/>
    <n v="10"/>
    <n v="300"/>
    <n v="871500"/>
    <n v="8715"/>
    <n v="862785"/>
    <n v="726250"/>
    <n v="136535"/>
    <x v="15"/>
    <n v="11"/>
    <x v="9"/>
    <x v="0"/>
  </r>
  <r>
    <x v="0"/>
    <x v="2"/>
    <x v="2"/>
    <x v="1"/>
    <x v="55"/>
    <n v="10"/>
    <n v="350"/>
    <n v="754250"/>
    <n v="7542.5"/>
    <n v="746707.5"/>
    <n v="560300"/>
    <n v="186407.5"/>
    <x v="2"/>
    <n v="12"/>
    <x v="2"/>
    <x v="0"/>
  </r>
  <r>
    <x v="0"/>
    <x v="2"/>
    <x v="3"/>
    <x v="1"/>
    <x v="69"/>
    <n v="120"/>
    <n v="20"/>
    <n v="77280"/>
    <n v="772.80000000000007"/>
    <n v="76507.200000000012"/>
    <n v="38640"/>
    <n v="37867.200000000004"/>
    <x v="13"/>
    <n v="4"/>
    <x v="10"/>
    <x v="0"/>
  </r>
  <r>
    <x v="0"/>
    <x v="3"/>
    <x v="3"/>
    <x v="1"/>
    <x v="70"/>
    <n v="120"/>
    <n v="7"/>
    <n v="2534"/>
    <n v="25.34"/>
    <n v="2508.66"/>
    <n v="1810"/>
    <n v="698.65999999999985"/>
    <x v="14"/>
    <n v="5"/>
    <x v="11"/>
    <x v="0"/>
  </r>
  <r>
    <x v="3"/>
    <x v="0"/>
    <x v="3"/>
    <x v="1"/>
    <x v="71"/>
    <n v="120"/>
    <n v="125"/>
    <n v="115375"/>
    <n v="1153.75"/>
    <n v="114221.25"/>
    <n v="110760"/>
    <n v="3461.25"/>
    <x v="5"/>
    <n v="8"/>
    <x v="5"/>
    <x v="0"/>
  </r>
  <r>
    <x v="3"/>
    <x v="4"/>
    <x v="3"/>
    <x v="1"/>
    <x v="61"/>
    <n v="120"/>
    <n v="125"/>
    <n v="82875"/>
    <n v="828.75"/>
    <n v="82046.25"/>
    <n v="79560"/>
    <n v="2486.25"/>
    <x v="7"/>
    <n v="10"/>
    <x v="7"/>
    <x v="1"/>
  </r>
  <r>
    <x v="0"/>
    <x v="0"/>
    <x v="3"/>
    <x v="1"/>
    <x v="72"/>
    <n v="120"/>
    <n v="7"/>
    <n v="14644"/>
    <n v="146.44"/>
    <n v="14497.56"/>
    <n v="10460"/>
    <n v="4037.5599999999995"/>
    <x v="11"/>
    <n v="11"/>
    <x v="9"/>
    <x v="1"/>
  </r>
  <r>
    <x v="0"/>
    <x v="1"/>
    <x v="4"/>
    <x v="1"/>
    <x v="73"/>
    <n v="250"/>
    <n v="7"/>
    <n v="1841"/>
    <n v="18.41"/>
    <n v="1822.59"/>
    <n v="1315"/>
    <n v="507.58999999999992"/>
    <x v="3"/>
    <n v="3"/>
    <x v="3"/>
    <x v="0"/>
  </r>
  <r>
    <x v="0"/>
    <x v="0"/>
    <x v="4"/>
    <x v="1"/>
    <x v="74"/>
    <n v="250"/>
    <n v="350"/>
    <n v="330225"/>
    <n v="3302.25"/>
    <n v="326922.75"/>
    <n v="245310"/>
    <n v="81612.75"/>
    <x v="13"/>
    <n v="4"/>
    <x v="10"/>
    <x v="0"/>
  </r>
  <r>
    <x v="3"/>
    <x v="4"/>
    <x v="4"/>
    <x v="1"/>
    <x v="64"/>
    <n v="250"/>
    <n v="125"/>
    <n v="90875"/>
    <n v="908.75"/>
    <n v="89966.25"/>
    <n v="87240"/>
    <n v="2726.25"/>
    <x v="1"/>
    <n v="6"/>
    <x v="1"/>
    <x v="0"/>
  </r>
  <r>
    <x v="3"/>
    <x v="2"/>
    <x v="4"/>
    <x v="1"/>
    <x v="65"/>
    <n v="250"/>
    <n v="125"/>
    <n v="98375"/>
    <n v="983.75"/>
    <n v="97391.25"/>
    <n v="94440"/>
    <n v="2951.25"/>
    <x v="1"/>
    <n v="6"/>
    <x v="1"/>
    <x v="0"/>
  </r>
  <r>
    <x v="4"/>
    <x v="1"/>
    <x v="4"/>
    <x v="1"/>
    <x v="75"/>
    <n v="250"/>
    <n v="300"/>
    <n v="295800"/>
    <n v="2958"/>
    <n v="292842"/>
    <n v="246500"/>
    <n v="46342"/>
    <x v="6"/>
    <n v="9"/>
    <x v="6"/>
    <x v="0"/>
  </r>
  <r>
    <x v="4"/>
    <x v="3"/>
    <x v="4"/>
    <x v="1"/>
    <x v="53"/>
    <n v="250"/>
    <n v="300"/>
    <n v="148200"/>
    <n v="1482"/>
    <n v="146718"/>
    <n v="123500"/>
    <n v="23218"/>
    <x v="7"/>
    <n v="10"/>
    <x v="7"/>
    <x v="1"/>
  </r>
  <r>
    <x v="0"/>
    <x v="3"/>
    <x v="4"/>
    <x v="1"/>
    <x v="54"/>
    <n v="250"/>
    <n v="350"/>
    <n v="488950"/>
    <n v="4889.5"/>
    <n v="484060.5"/>
    <n v="363220"/>
    <n v="120840.5"/>
    <x v="10"/>
    <n v="10"/>
    <x v="7"/>
    <x v="0"/>
  </r>
  <r>
    <x v="3"/>
    <x v="2"/>
    <x v="4"/>
    <x v="1"/>
    <x v="76"/>
    <n v="250"/>
    <n v="125"/>
    <n v="218000"/>
    <n v="2180"/>
    <n v="215820"/>
    <n v="209280"/>
    <n v="6540"/>
    <x v="15"/>
    <n v="11"/>
    <x v="9"/>
    <x v="0"/>
  </r>
  <r>
    <x v="2"/>
    <x v="4"/>
    <x v="5"/>
    <x v="1"/>
    <x v="77"/>
    <n v="260"/>
    <n v="12"/>
    <n v="23868"/>
    <n v="238.68"/>
    <n v="23629.32"/>
    <n v="5967"/>
    <n v="17662.32"/>
    <x v="9"/>
    <n v="9"/>
    <x v="6"/>
    <x v="1"/>
  </r>
  <r>
    <x v="1"/>
    <x v="2"/>
    <x v="5"/>
    <x v="1"/>
    <x v="78"/>
    <n v="260"/>
    <n v="15"/>
    <n v="4815"/>
    <n v="48.15"/>
    <n v="4766.8500000000004"/>
    <n v="3210"/>
    <n v="1556.8500000000004"/>
    <x v="11"/>
    <n v="11"/>
    <x v="9"/>
    <x v="1"/>
  </r>
  <r>
    <x v="3"/>
    <x v="0"/>
    <x v="0"/>
    <x v="1"/>
    <x v="79"/>
    <n v="3"/>
    <n v="125"/>
    <n v="92812.5"/>
    <n v="1856.25"/>
    <n v="90956.25"/>
    <n v="89100"/>
    <n v="1856.25"/>
    <x v="13"/>
    <n v="4"/>
    <x v="10"/>
    <x v="0"/>
  </r>
  <r>
    <x v="2"/>
    <x v="0"/>
    <x v="0"/>
    <x v="1"/>
    <x v="80"/>
    <n v="3"/>
    <n v="12"/>
    <n v="15540"/>
    <n v="310.8"/>
    <n v="15229.2"/>
    <n v="3885"/>
    <n v="11344.2"/>
    <x v="10"/>
    <n v="10"/>
    <x v="7"/>
    <x v="0"/>
  </r>
  <r>
    <x v="4"/>
    <x v="1"/>
    <x v="0"/>
    <x v="1"/>
    <x v="81"/>
    <n v="3"/>
    <n v="300"/>
    <n v="64200"/>
    <n v="1284"/>
    <n v="62916"/>
    <n v="53500"/>
    <n v="9416"/>
    <x v="7"/>
    <n v="10"/>
    <x v="7"/>
    <x v="1"/>
  </r>
  <r>
    <x v="0"/>
    <x v="2"/>
    <x v="0"/>
    <x v="1"/>
    <x v="82"/>
    <n v="3"/>
    <n v="7"/>
    <n v="15015"/>
    <n v="300.3"/>
    <n v="14714.7"/>
    <n v="10725"/>
    <n v="3989.7000000000007"/>
    <x v="11"/>
    <n v="11"/>
    <x v="9"/>
    <x v="1"/>
  </r>
  <r>
    <x v="0"/>
    <x v="0"/>
    <x v="0"/>
    <x v="1"/>
    <x v="83"/>
    <n v="3"/>
    <n v="350"/>
    <n v="998200"/>
    <n v="19964"/>
    <n v="978236"/>
    <n v="741520"/>
    <n v="236716"/>
    <x v="2"/>
    <n v="12"/>
    <x v="2"/>
    <x v="0"/>
  </r>
  <r>
    <x v="2"/>
    <x v="4"/>
    <x v="1"/>
    <x v="1"/>
    <x v="84"/>
    <n v="5"/>
    <n v="12"/>
    <n v="13704"/>
    <n v="274.08"/>
    <n v="13429.92"/>
    <n v="3426"/>
    <n v="10003.92"/>
    <x v="1"/>
    <n v="6"/>
    <x v="1"/>
    <x v="0"/>
  </r>
  <r>
    <x v="0"/>
    <x v="4"/>
    <x v="1"/>
    <x v="1"/>
    <x v="85"/>
    <n v="5"/>
    <n v="20"/>
    <n v="31320"/>
    <n v="626.4"/>
    <n v="30693.599999999999"/>
    <n v="15660"/>
    <n v="15033.599999999999"/>
    <x v="10"/>
    <n v="10"/>
    <x v="7"/>
    <x v="0"/>
  </r>
  <r>
    <x v="2"/>
    <x v="3"/>
    <x v="1"/>
    <x v="1"/>
    <x v="86"/>
    <n v="5"/>
    <n v="12"/>
    <n v="8280"/>
    <n v="165.6"/>
    <n v="8114.4"/>
    <n v="2070"/>
    <n v="6044.4"/>
    <x v="15"/>
    <n v="11"/>
    <x v="9"/>
    <x v="0"/>
  </r>
  <r>
    <x v="3"/>
    <x v="3"/>
    <x v="1"/>
    <x v="1"/>
    <x v="87"/>
    <n v="5"/>
    <n v="125"/>
    <n v="207500"/>
    <n v="4150"/>
    <n v="203350"/>
    <n v="199200"/>
    <n v="4150"/>
    <x v="11"/>
    <n v="11"/>
    <x v="9"/>
    <x v="1"/>
  </r>
  <r>
    <x v="1"/>
    <x v="0"/>
    <x v="2"/>
    <x v="1"/>
    <x v="88"/>
    <n v="10"/>
    <n v="15"/>
    <n v="35445"/>
    <n v="708.9"/>
    <n v="34736.1"/>
    <n v="23630"/>
    <n v="11106.099999999999"/>
    <x v="8"/>
    <n v="2"/>
    <x v="8"/>
    <x v="0"/>
  </r>
  <r>
    <x v="4"/>
    <x v="2"/>
    <x v="2"/>
    <x v="1"/>
    <x v="89"/>
    <n v="10"/>
    <n v="300"/>
    <n v="275400"/>
    <n v="5508"/>
    <n v="269892"/>
    <n v="229500"/>
    <n v="40392"/>
    <x v="14"/>
    <n v="5"/>
    <x v="11"/>
    <x v="0"/>
  </r>
  <r>
    <x v="4"/>
    <x v="1"/>
    <x v="2"/>
    <x v="1"/>
    <x v="90"/>
    <n v="10"/>
    <n v="300"/>
    <n v="518400"/>
    <n v="10368"/>
    <n v="508032"/>
    <n v="432000"/>
    <n v="76032"/>
    <x v="14"/>
    <n v="5"/>
    <x v="11"/>
    <x v="0"/>
  </r>
  <r>
    <x v="2"/>
    <x v="4"/>
    <x v="2"/>
    <x v="1"/>
    <x v="84"/>
    <n v="10"/>
    <n v="12"/>
    <n v="13704"/>
    <n v="274.08"/>
    <n v="13429.92"/>
    <n v="3426"/>
    <n v="10003.92"/>
    <x v="1"/>
    <n v="6"/>
    <x v="1"/>
    <x v="0"/>
  </r>
  <r>
    <x v="3"/>
    <x v="3"/>
    <x v="2"/>
    <x v="1"/>
    <x v="91"/>
    <n v="10"/>
    <n v="125"/>
    <n v="82750"/>
    <n v="1655"/>
    <n v="81095"/>
    <n v="79440"/>
    <n v="1655"/>
    <x v="1"/>
    <n v="6"/>
    <x v="1"/>
    <x v="0"/>
  </r>
  <r>
    <x v="2"/>
    <x v="0"/>
    <x v="2"/>
    <x v="1"/>
    <x v="80"/>
    <n v="10"/>
    <n v="12"/>
    <n v="15540"/>
    <n v="310.8"/>
    <n v="15229.2"/>
    <n v="3885"/>
    <n v="11344.2"/>
    <x v="10"/>
    <n v="10"/>
    <x v="7"/>
    <x v="0"/>
  </r>
  <r>
    <x v="3"/>
    <x v="1"/>
    <x v="2"/>
    <x v="1"/>
    <x v="92"/>
    <n v="10"/>
    <n v="125"/>
    <n v="101125"/>
    <n v="2022.5"/>
    <n v="99102.5"/>
    <n v="97080"/>
    <n v="2022.5"/>
    <x v="7"/>
    <n v="10"/>
    <x v="7"/>
    <x v="1"/>
  </r>
  <r>
    <x v="3"/>
    <x v="3"/>
    <x v="2"/>
    <x v="1"/>
    <x v="82"/>
    <n v="10"/>
    <n v="125"/>
    <n v="268125"/>
    <n v="5362.5"/>
    <n v="262762.5"/>
    <n v="257400"/>
    <n v="5362.5"/>
    <x v="7"/>
    <n v="10"/>
    <x v="7"/>
    <x v="1"/>
  </r>
  <r>
    <x v="2"/>
    <x v="2"/>
    <x v="2"/>
    <x v="1"/>
    <x v="93"/>
    <n v="10"/>
    <n v="12"/>
    <n v="21420"/>
    <n v="428.4"/>
    <n v="20991.599999999999"/>
    <n v="5355"/>
    <n v="15636.599999999999"/>
    <x v="11"/>
    <n v="11"/>
    <x v="9"/>
    <x v="1"/>
  </r>
  <r>
    <x v="4"/>
    <x v="0"/>
    <x v="2"/>
    <x v="1"/>
    <x v="94"/>
    <n v="10"/>
    <n v="300"/>
    <n v="574800"/>
    <n v="11496"/>
    <n v="563304"/>
    <n v="479000"/>
    <n v="84304"/>
    <x v="2"/>
    <n v="12"/>
    <x v="2"/>
    <x v="0"/>
  </r>
  <r>
    <x v="0"/>
    <x v="0"/>
    <x v="2"/>
    <x v="1"/>
    <x v="83"/>
    <n v="10"/>
    <n v="350"/>
    <n v="998200"/>
    <n v="19964"/>
    <n v="978236"/>
    <n v="741520"/>
    <n v="236716"/>
    <x v="2"/>
    <n v="12"/>
    <x v="2"/>
    <x v="0"/>
  </r>
  <r>
    <x v="3"/>
    <x v="0"/>
    <x v="2"/>
    <x v="1"/>
    <x v="95"/>
    <n v="10"/>
    <n v="125"/>
    <n v="341125"/>
    <n v="6822.5"/>
    <n v="334302.5"/>
    <n v="327480"/>
    <n v="6822.5"/>
    <x v="2"/>
    <n v="12"/>
    <x v="2"/>
    <x v="0"/>
  </r>
  <r>
    <x v="1"/>
    <x v="4"/>
    <x v="2"/>
    <x v="1"/>
    <x v="96"/>
    <n v="10"/>
    <n v="15"/>
    <n v="28875"/>
    <n v="577.5"/>
    <n v="28297.5"/>
    <n v="19250"/>
    <n v="9047.5"/>
    <x v="12"/>
    <n v="12"/>
    <x v="2"/>
    <x v="1"/>
  </r>
  <r>
    <x v="0"/>
    <x v="4"/>
    <x v="2"/>
    <x v="1"/>
    <x v="97"/>
    <n v="10"/>
    <n v="7"/>
    <n v="14091"/>
    <n v="281.82"/>
    <n v="13809.18"/>
    <n v="10065"/>
    <n v="3744.1800000000003"/>
    <x v="12"/>
    <n v="12"/>
    <x v="2"/>
    <x v="1"/>
  </r>
  <r>
    <x v="2"/>
    <x v="2"/>
    <x v="2"/>
    <x v="1"/>
    <x v="98"/>
    <n v="10"/>
    <n v="12"/>
    <n v="12660"/>
    <n v="253.2"/>
    <n v="12406.8"/>
    <n v="3165"/>
    <n v="9241.7999999999993"/>
    <x v="2"/>
    <n v="12"/>
    <x v="2"/>
    <x v="0"/>
  </r>
  <r>
    <x v="2"/>
    <x v="3"/>
    <x v="2"/>
    <x v="1"/>
    <x v="99"/>
    <n v="10"/>
    <n v="12"/>
    <n v="13008"/>
    <n v="260.16000000000003"/>
    <n v="12747.84"/>
    <n v="3252"/>
    <n v="9495.84"/>
    <x v="2"/>
    <n v="12"/>
    <x v="2"/>
    <x v="0"/>
  </r>
  <r>
    <x v="0"/>
    <x v="4"/>
    <x v="3"/>
    <x v="1"/>
    <x v="85"/>
    <n v="120"/>
    <n v="20"/>
    <n v="31320"/>
    <n v="626.4"/>
    <n v="30693.599999999999"/>
    <n v="15660"/>
    <n v="15033.599999999999"/>
    <x v="10"/>
    <n v="10"/>
    <x v="7"/>
    <x v="0"/>
  </r>
  <r>
    <x v="0"/>
    <x v="1"/>
    <x v="3"/>
    <x v="1"/>
    <x v="100"/>
    <n v="120"/>
    <n v="350"/>
    <n v="1038100"/>
    <n v="20762"/>
    <n v="1017338"/>
    <n v="771160"/>
    <n v="246178"/>
    <x v="7"/>
    <n v="10"/>
    <x v="7"/>
    <x v="1"/>
  </r>
  <r>
    <x v="0"/>
    <x v="1"/>
    <x v="3"/>
    <x v="1"/>
    <x v="101"/>
    <n v="120"/>
    <n v="350"/>
    <n v="1006950"/>
    <n v="20139"/>
    <n v="986811"/>
    <n v="748020"/>
    <n v="238791"/>
    <x v="10"/>
    <n v="10"/>
    <x v="7"/>
    <x v="0"/>
  </r>
  <r>
    <x v="3"/>
    <x v="1"/>
    <x v="3"/>
    <x v="1"/>
    <x v="92"/>
    <n v="120"/>
    <n v="125"/>
    <n v="101125"/>
    <n v="2022.5"/>
    <n v="99102.5"/>
    <n v="97080"/>
    <n v="2022.5"/>
    <x v="7"/>
    <n v="10"/>
    <x v="7"/>
    <x v="1"/>
  </r>
  <r>
    <x v="3"/>
    <x v="3"/>
    <x v="3"/>
    <x v="1"/>
    <x v="82"/>
    <n v="120"/>
    <n v="125"/>
    <n v="268125"/>
    <n v="5362.5"/>
    <n v="262762.5"/>
    <n v="257400"/>
    <n v="5362.5"/>
    <x v="7"/>
    <n v="10"/>
    <x v="7"/>
    <x v="1"/>
  </r>
  <r>
    <x v="2"/>
    <x v="2"/>
    <x v="3"/>
    <x v="1"/>
    <x v="98"/>
    <n v="120"/>
    <n v="12"/>
    <n v="12660"/>
    <n v="253.2"/>
    <n v="12406.8"/>
    <n v="3165"/>
    <n v="9241.7999999999993"/>
    <x v="2"/>
    <n v="12"/>
    <x v="2"/>
    <x v="0"/>
  </r>
  <r>
    <x v="0"/>
    <x v="3"/>
    <x v="3"/>
    <x v="1"/>
    <x v="102"/>
    <n v="120"/>
    <n v="20"/>
    <n v="10880"/>
    <n v="217.6"/>
    <n v="10662.4"/>
    <n v="5440"/>
    <n v="5222.3999999999996"/>
    <x v="12"/>
    <n v="12"/>
    <x v="2"/>
    <x v="1"/>
  </r>
  <r>
    <x v="2"/>
    <x v="3"/>
    <x v="3"/>
    <x v="1"/>
    <x v="99"/>
    <n v="120"/>
    <n v="12"/>
    <n v="13008"/>
    <n v="260.16000000000003"/>
    <n v="12747.84"/>
    <n v="3252"/>
    <n v="9495.84"/>
    <x v="2"/>
    <n v="12"/>
    <x v="2"/>
    <x v="0"/>
  </r>
  <r>
    <x v="3"/>
    <x v="3"/>
    <x v="4"/>
    <x v="1"/>
    <x v="91"/>
    <n v="250"/>
    <n v="125"/>
    <n v="82750"/>
    <n v="1655"/>
    <n v="81095"/>
    <n v="79440"/>
    <n v="1655"/>
    <x v="1"/>
    <n v="6"/>
    <x v="1"/>
    <x v="0"/>
  </r>
  <r>
    <x v="4"/>
    <x v="1"/>
    <x v="4"/>
    <x v="1"/>
    <x v="81"/>
    <n v="250"/>
    <n v="300"/>
    <n v="64200"/>
    <n v="1284"/>
    <n v="62916"/>
    <n v="53500"/>
    <n v="9416"/>
    <x v="7"/>
    <n v="10"/>
    <x v="7"/>
    <x v="1"/>
  </r>
  <r>
    <x v="0"/>
    <x v="1"/>
    <x v="4"/>
    <x v="1"/>
    <x v="101"/>
    <n v="250"/>
    <n v="350"/>
    <n v="1006950"/>
    <n v="20139"/>
    <n v="986811"/>
    <n v="748020"/>
    <n v="238791"/>
    <x v="10"/>
    <n v="10"/>
    <x v="7"/>
    <x v="0"/>
  </r>
  <r>
    <x v="3"/>
    <x v="0"/>
    <x v="4"/>
    <x v="1"/>
    <x v="95"/>
    <n v="250"/>
    <n v="125"/>
    <n v="341125"/>
    <n v="6822.5"/>
    <n v="334302.5"/>
    <n v="327480"/>
    <n v="6822.5"/>
    <x v="2"/>
    <n v="12"/>
    <x v="2"/>
    <x v="0"/>
  </r>
  <r>
    <x v="0"/>
    <x v="4"/>
    <x v="4"/>
    <x v="1"/>
    <x v="103"/>
    <n v="250"/>
    <n v="350"/>
    <n v="93100"/>
    <n v="1862"/>
    <n v="91238"/>
    <n v="69160"/>
    <n v="22078"/>
    <x v="12"/>
    <n v="12"/>
    <x v="2"/>
    <x v="1"/>
  </r>
  <r>
    <x v="0"/>
    <x v="3"/>
    <x v="4"/>
    <x v="1"/>
    <x v="104"/>
    <n v="250"/>
    <n v="350"/>
    <n v="679000"/>
    <n v="13580"/>
    <n v="665420"/>
    <n v="504400"/>
    <n v="161020"/>
    <x v="12"/>
    <n v="12"/>
    <x v="2"/>
    <x v="1"/>
  </r>
  <r>
    <x v="4"/>
    <x v="1"/>
    <x v="5"/>
    <x v="1"/>
    <x v="105"/>
    <n v="260"/>
    <n v="300"/>
    <n v="77700"/>
    <n v="1554"/>
    <n v="76146"/>
    <n v="64750"/>
    <n v="11396"/>
    <x v="3"/>
    <n v="3"/>
    <x v="3"/>
    <x v="0"/>
  </r>
  <r>
    <x v="4"/>
    <x v="3"/>
    <x v="5"/>
    <x v="1"/>
    <x v="106"/>
    <n v="260"/>
    <n v="300"/>
    <n v="330300"/>
    <n v="6606"/>
    <n v="323694"/>
    <n v="275250"/>
    <n v="48444"/>
    <x v="3"/>
    <n v="3"/>
    <x v="3"/>
    <x v="0"/>
  </r>
  <r>
    <x v="3"/>
    <x v="1"/>
    <x v="5"/>
    <x v="1"/>
    <x v="107"/>
    <n v="260"/>
    <n v="125"/>
    <n v="284500"/>
    <n v="5690"/>
    <n v="278810"/>
    <n v="273120"/>
    <n v="5690"/>
    <x v="14"/>
    <n v="5"/>
    <x v="11"/>
    <x v="0"/>
  </r>
  <r>
    <x v="0"/>
    <x v="1"/>
    <x v="5"/>
    <x v="1"/>
    <x v="100"/>
    <n v="260"/>
    <n v="350"/>
    <n v="1038100"/>
    <n v="20762"/>
    <n v="1017338"/>
    <n v="771160"/>
    <n v="246178"/>
    <x v="7"/>
    <n v="10"/>
    <x v="7"/>
    <x v="1"/>
  </r>
  <r>
    <x v="0"/>
    <x v="4"/>
    <x v="5"/>
    <x v="1"/>
    <x v="108"/>
    <n v="260"/>
    <n v="20"/>
    <n v="24720"/>
    <n v="494.4"/>
    <n v="24225.599999999999"/>
    <n v="12360"/>
    <n v="11865.599999999999"/>
    <x v="15"/>
    <n v="11"/>
    <x v="9"/>
    <x v="0"/>
  </r>
  <r>
    <x v="0"/>
    <x v="2"/>
    <x v="5"/>
    <x v="1"/>
    <x v="109"/>
    <n v="260"/>
    <n v="20"/>
    <n v="18820"/>
    <n v="376.4"/>
    <n v="18443.599999999999"/>
    <n v="9410"/>
    <n v="9033.5999999999985"/>
    <x v="15"/>
    <n v="11"/>
    <x v="9"/>
    <x v="0"/>
  </r>
  <r>
    <x v="4"/>
    <x v="0"/>
    <x v="5"/>
    <x v="1"/>
    <x v="94"/>
    <n v="260"/>
    <n v="300"/>
    <n v="574800"/>
    <n v="11496"/>
    <n v="563304"/>
    <n v="479000"/>
    <n v="84304"/>
    <x v="2"/>
    <n v="12"/>
    <x v="2"/>
    <x v="0"/>
  </r>
  <r>
    <x v="3"/>
    <x v="2"/>
    <x v="0"/>
    <x v="1"/>
    <x v="110"/>
    <n v="3"/>
    <n v="125"/>
    <n v="530437.5"/>
    <n v="15913.125"/>
    <n v="514524.375"/>
    <n v="509220"/>
    <n v="5304.375"/>
    <x v="13"/>
    <n v="4"/>
    <x v="10"/>
    <x v="0"/>
  </r>
  <r>
    <x v="0"/>
    <x v="1"/>
    <x v="0"/>
    <x v="1"/>
    <x v="111"/>
    <n v="3"/>
    <n v="20"/>
    <n v="51600"/>
    <n v="1548"/>
    <n v="50052"/>
    <n v="25800"/>
    <n v="24252"/>
    <x v="13"/>
    <n v="4"/>
    <x v="10"/>
    <x v="0"/>
  </r>
  <r>
    <x v="4"/>
    <x v="1"/>
    <x v="0"/>
    <x v="1"/>
    <x v="112"/>
    <n v="3"/>
    <n v="300"/>
    <n v="206700"/>
    <n v="6201"/>
    <n v="200499"/>
    <n v="172250"/>
    <n v="28249"/>
    <x v="1"/>
    <n v="6"/>
    <x v="1"/>
    <x v="0"/>
  </r>
  <r>
    <x v="2"/>
    <x v="4"/>
    <x v="0"/>
    <x v="1"/>
    <x v="113"/>
    <n v="3"/>
    <n v="12"/>
    <n v="23364"/>
    <n v="700.92"/>
    <n v="22663.08"/>
    <n v="5841"/>
    <n v="16822.080000000002"/>
    <x v="6"/>
    <n v="9"/>
    <x v="6"/>
    <x v="0"/>
  </r>
  <r>
    <x v="2"/>
    <x v="0"/>
    <x v="0"/>
    <x v="1"/>
    <x v="114"/>
    <n v="3"/>
    <n v="12"/>
    <n v="10896"/>
    <n v="326.88"/>
    <n v="10569.12"/>
    <n v="2724"/>
    <n v="7845.1200000000008"/>
    <x v="12"/>
    <n v="12"/>
    <x v="2"/>
    <x v="1"/>
  </r>
  <r>
    <x v="0"/>
    <x v="1"/>
    <x v="1"/>
    <x v="1"/>
    <x v="115"/>
    <n v="5"/>
    <n v="7"/>
    <n v="13706"/>
    <n v="411.18"/>
    <n v="13294.82"/>
    <n v="9790"/>
    <n v="3504.8199999999997"/>
    <x v="8"/>
    <n v="2"/>
    <x v="8"/>
    <x v="0"/>
  </r>
  <r>
    <x v="2"/>
    <x v="2"/>
    <x v="1"/>
    <x v="1"/>
    <x v="116"/>
    <n v="5"/>
    <n v="12"/>
    <n v="22812"/>
    <n v="684.36"/>
    <n v="22127.64"/>
    <n v="5703"/>
    <n v="16424.64"/>
    <x v="1"/>
    <n v="6"/>
    <x v="1"/>
    <x v="0"/>
  </r>
  <r>
    <x v="0"/>
    <x v="2"/>
    <x v="1"/>
    <x v="1"/>
    <x v="102"/>
    <n v="5"/>
    <n v="7"/>
    <n v="3808"/>
    <n v="114.24"/>
    <n v="3693.76"/>
    <n v="2720"/>
    <n v="973.76000000000022"/>
    <x v="6"/>
    <n v="9"/>
    <x v="6"/>
    <x v="0"/>
  </r>
  <r>
    <x v="0"/>
    <x v="1"/>
    <x v="1"/>
    <x v="1"/>
    <x v="117"/>
    <n v="5"/>
    <n v="350"/>
    <n v="628950"/>
    <n v="18868.5"/>
    <n v="610081.5"/>
    <n v="467220"/>
    <n v="142861.5"/>
    <x v="9"/>
    <n v="9"/>
    <x v="6"/>
    <x v="1"/>
  </r>
  <r>
    <x v="3"/>
    <x v="2"/>
    <x v="1"/>
    <x v="1"/>
    <x v="118"/>
    <n v="5"/>
    <n v="125"/>
    <n v="160875"/>
    <n v="4826.25"/>
    <n v="156048.75"/>
    <n v="154440"/>
    <n v="1608.75"/>
    <x v="2"/>
    <n v="12"/>
    <x v="2"/>
    <x v="0"/>
  </r>
  <r>
    <x v="3"/>
    <x v="1"/>
    <x v="1"/>
    <x v="1"/>
    <x v="119"/>
    <n v="5"/>
    <n v="125"/>
    <n v="213250"/>
    <n v="6397.5"/>
    <n v="206852.5"/>
    <n v="204720"/>
    <n v="2132.5"/>
    <x v="2"/>
    <n v="12"/>
    <x v="2"/>
    <x v="0"/>
  </r>
  <r>
    <x v="4"/>
    <x v="2"/>
    <x v="2"/>
    <x v="1"/>
    <x v="120"/>
    <n v="10"/>
    <n v="300"/>
    <n v="730350"/>
    <n v="21910.5"/>
    <n v="708439.5"/>
    <n v="608625"/>
    <n v="99814.5"/>
    <x v="0"/>
    <n v="1"/>
    <x v="0"/>
    <x v="0"/>
  </r>
  <r>
    <x v="3"/>
    <x v="0"/>
    <x v="2"/>
    <x v="1"/>
    <x v="121"/>
    <n v="10"/>
    <n v="125"/>
    <n v="221750"/>
    <n v="6652.5"/>
    <n v="215097.5"/>
    <n v="212880"/>
    <n v="2217.5"/>
    <x v="3"/>
    <n v="3"/>
    <x v="3"/>
    <x v="0"/>
  </r>
  <r>
    <x v="2"/>
    <x v="2"/>
    <x v="2"/>
    <x v="1"/>
    <x v="116"/>
    <n v="10"/>
    <n v="12"/>
    <n v="22812"/>
    <n v="684.36"/>
    <n v="22127.64"/>
    <n v="5703"/>
    <n v="16424.64"/>
    <x v="1"/>
    <n v="6"/>
    <x v="1"/>
    <x v="0"/>
  </r>
  <r>
    <x v="4"/>
    <x v="1"/>
    <x v="2"/>
    <x v="1"/>
    <x v="112"/>
    <n v="10"/>
    <n v="300"/>
    <n v="206700"/>
    <n v="6201"/>
    <n v="200499"/>
    <n v="172250"/>
    <n v="28249"/>
    <x v="1"/>
    <n v="6"/>
    <x v="1"/>
    <x v="0"/>
  </r>
  <r>
    <x v="3"/>
    <x v="1"/>
    <x v="2"/>
    <x v="1"/>
    <x v="122"/>
    <n v="10"/>
    <n v="125"/>
    <n v="196250"/>
    <n v="5887.5"/>
    <n v="190362.5"/>
    <n v="188400"/>
    <n v="1962.5"/>
    <x v="1"/>
    <n v="6"/>
    <x v="1"/>
    <x v="0"/>
  </r>
  <r>
    <x v="2"/>
    <x v="4"/>
    <x v="2"/>
    <x v="1"/>
    <x v="123"/>
    <n v="10"/>
    <n v="12"/>
    <n v="16434"/>
    <n v="493.02"/>
    <n v="15940.98"/>
    <n v="4108.5"/>
    <n v="11832.48"/>
    <x v="4"/>
    <n v="7"/>
    <x v="4"/>
    <x v="0"/>
  </r>
  <r>
    <x v="3"/>
    <x v="0"/>
    <x v="2"/>
    <x v="1"/>
    <x v="124"/>
    <n v="10"/>
    <n v="125"/>
    <n v="251125"/>
    <n v="7533.75"/>
    <n v="243591.25"/>
    <n v="241080"/>
    <n v="2511.25"/>
    <x v="10"/>
    <n v="10"/>
    <x v="7"/>
    <x v="0"/>
  </r>
  <r>
    <x v="1"/>
    <x v="1"/>
    <x v="2"/>
    <x v="1"/>
    <x v="125"/>
    <n v="10"/>
    <n v="15"/>
    <n v="29175"/>
    <n v="875.25"/>
    <n v="28299.75"/>
    <n v="19450"/>
    <n v="8849.75"/>
    <x v="7"/>
    <n v="10"/>
    <x v="7"/>
    <x v="1"/>
  </r>
  <r>
    <x v="3"/>
    <x v="2"/>
    <x v="2"/>
    <x v="1"/>
    <x v="118"/>
    <n v="10"/>
    <n v="125"/>
    <n v="160875"/>
    <n v="4826.25"/>
    <n v="156048.75"/>
    <n v="154440"/>
    <n v="1608.75"/>
    <x v="2"/>
    <n v="12"/>
    <x v="2"/>
    <x v="0"/>
  </r>
  <r>
    <x v="3"/>
    <x v="1"/>
    <x v="2"/>
    <x v="1"/>
    <x v="119"/>
    <n v="10"/>
    <n v="125"/>
    <n v="213250"/>
    <n v="6397.5"/>
    <n v="206852.5"/>
    <n v="204720"/>
    <n v="2132.5"/>
    <x v="2"/>
    <n v="12"/>
    <x v="2"/>
    <x v="0"/>
  </r>
  <r>
    <x v="3"/>
    <x v="0"/>
    <x v="3"/>
    <x v="1"/>
    <x v="124"/>
    <n v="120"/>
    <n v="125"/>
    <n v="251125"/>
    <n v="7533.75"/>
    <n v="243591.25"/>
    <n v="241080"/>
    <n v="2511.25"/>
    <x v="10"/>
    <n v="10"/>
    <x v="7"/>
    <x v="0"/>
  </r>
  <r>
    <x v="4"/>
    <x v="4"/>
    <x v="4"/>
    <x v="1"/>
    <x v="126"/>
    <n v="250"/>
    <n v="300"/>
    <n v="853200"/>
    <n v="25596"/>
    <n v="827604"/>
    <n v="711000"/>
    <n v="116604"/>
    <x v="8"/>
    <n v="2"/>
    <x v="8"/>
    <x v="0"/>
  </r>
  <r>
    <x v="2"/>
    <x v="3"/>
    <x v="4"/>
    <x v="1"/>
    <x v="94"/>
    <n v="250"/>
    <n v="12"/>
    <n v="22992"/>
    <n v="689.76"/>
    <n v="22302.240000000002"/>
    <n v="5748"/>
    <n v="16554.240000000002"/>
    <x v="13"/>
    <n v="4"/>
    <x v="10"/>
    <x v="0"/>
  </r>
  <r>
    <x v="3"/>
    <x v="1"/>
    <x v="4"/>
    <x v="1"/>
    <x v="122"/>
    <n v="250"/>
    <n v="125"/>
    <n v="196250"/>
    <n v="5887.5"/>
    <n v="190362.5"/>
    <n v="188400"/>
    <n v="1962.5"/>
    <x v="1"/>
    <n v="6"/>
    <x v="1"/>
    <x v="0"/>
  </r>
  <r>
    <x v="4"/>
    <x v="0"/>
    <x v="4"/>
    <x v="1"/>
    <x v="127"/>
    <n v="250"/>
    <n v="300"/>
    <n v="562200"/>
    <n v="16866"/>
    <n v="545334"/>
    <n v="468500"/>
    <n v="76834"/>
    <x v="5"/>
    <n v="8"/>
    <x v="5"/>
    <x v="0"/>
  </r>
  <r>
    <x v="0"/>
    <x v="3"/>
    <x v="4"/>
    <x v="1"/>
    <x v="128"/>
    <n v="250"/>
    <n v="350"/>
    <n v="574700"/>
    <n v="17241"/>
    <n v="557459"/>
    <n v="426920"/>
    <n v="130539"/>
    <x v="5"/>
    <n v="8"/>
    <x v="5"/>
    <x v="0"/>
  </r>
  <r>
    <x v="1"/>
    <x v="1"/>
    <x v="4"/>
    <x v="1"/>
    <x v="125"/>
    <n v="250"/>
    <n v="15"/>
    <n v="29175"/>
    <n v="875.25"/>
    <n v="28299.75"/>
    <n v="19450"/>
    <n v="8849.75"/>
    <x v="7"/>
    <n v="10"/>
    <x v="7"/>
    <x v="1"/>
  </r>
  <r>
    <x v="0"/>
    <x v="0"/>
    <x v="0"/>
    <x v="1"/>
    <x v="129"/>
    <n v="3"/>
    <n v="20"/>
    <n v="16620"/>
    <n v="498.6"/>
    <n v="16121.4"/>
    <n v="8310"/>
    <n v="7811.4"/>
    <x v="14"/>
    <n v="5"/>
    <x v="11"/>
    <x v="0"/>
  </r>
  <r>
    <x v="0"/>
    <x v="3"/>
    <x v="2"/>
    <x v="1"/>
    <x v="130"/>
    <n v="10"/>
    <n v="7"/>
    <n v="12320"/>
    <n v="369.6"/>
    <n v="11950.4"/>
    <n v="8800"/>
    <n v="3150.3999999999996"/>
    <x v="9"/>
    <n v="9"/>
    <x v="6"/>
    <x v="1"/>
  </r>
  <r>
    <x v="0"/>
    <x v="0"/>
    <x v="3"/>
    <x v="1"/>
    <x v="131"/>
    <n v="120"/>
    <n v="20"/>
    <n v="77010"/>
    <n v="2310.3000000000002"/>
    <n v="74699.700000000012"/>
    <n v="38505"/>
    <n v="36194.700000000004"/>
    <x v="13"/>
    <n v="4"/>
    <x v="10"/>
    <x v="0"/>
  </r>
  <r>
    <x v="2"/>
    <x v="1"/>
    <x v="4"/>
    <x v="1"/>
    <x v="132"/>
    <n v="250"/>
    <n v="12"/>
    <n v="29748"/>
    <n v="892.44"/>
    <n v="28855.56"/>
    <n v="7437"/>
    <n v="21418.560000000001"/>
    <x v="0"/>
    <n v="1"/>
    <x v="0"/>
    <x v="0"/>
  </r>
  <r>
    <x v="1"/>
    <x v="3"/>
    <x v="1"/>
    <x v="1"/>
    <x v="133"/>
    <n v="5"/>
    <n v="15"/>
    <n v="30465"/>
    <n v="1218.5999999999999"/>
    <n v="29246.400000000001"/>
    <n v="20310"/>
    <n v="8936.4000000000015"/>
    <x v="10"/>
    <n v="10"/>
    <x v="7"/>
    <x v="0"/>
  </r>
  <r>
    <x v="1"/>
    <x v="3"/>
    <x v="2"/>
    <x v="1"/>
    <x v="133"/>
    <n v="10"/>
    <n v="15"/>
    <n v="30465"/>
    <n v="1218.5999999999999"/>
    <n v="29246.400000000001"/>
    <n v="20310"/>
    <n v="8936.4000000000015"/>
    <x v="10"/>
    <n v="10"/>
    <x v="7"/>
    <x v="0"/>
  </r>
  <r>
    <x v="1"/>
    <x v="2"/>
    <x v="2"/>
    <x v="1"/>
    <x v="134"/>
    <n v="10"/>
    <n v="15"/>
    <n v="33915"/>
    <n v="1356.6"/>
    <n v="32558.400000000001"/>
    <n v="22610"/>
    <n v="9948.4000000000015"/>
    <x v="12"/>
    <n v="12"/>
    <x v="2"/>
    <x v="1"/>
  </r>
  <r>
    <x v="0"/>
    <x v="4"/>
    <x v="3"/>
    <x v="1"/>
    <x v="135"/>
    <n v="120"/>
    <n v="20"/>
    <n v="14720"/>
    <n v="588.79999999999995"/>
    <n v="14131.2"/>
    <n v="7360"/>
    <n v="6771.2000000000007"/>
    <x v="9"/>
    <n v="9"/>
    <x v="6"/>
    <x v="1"/>
  </r>
  <r>
    <x v="0"/>
    <x v="0"/>
    <x v="0"/>
    <x v="1"/>
    <x v="136"/>
    <n v="3"/>
    <n v="7"/>
    <n v="19957"/>
    <n v="798.28"/>
    <n v="19158.72"/>
    <n v="14255"/>
    <n v="4903.7200000000012"/>
    <x v="7"/>
    <n v="10"/>
    <x v="7"/>
    <x v="1"/>
  </r>
  <r>
    <x v="4"/>
    <x v="1"/>
    <x v="0"/>
    <x v="1"/>
    <x v="137"/>
    <n v="3"/>
    <n v="300"/>
    <n v="606300"/>
    <n v="24252"/>
    <n v="582048"/>
    <n v="505250"/>
    <n v="76798"/>
    <x v="10"/>
    <n v="10"/>
    <x v="7"/>
    <x v="0"/>
  </r>
  <r>
    <x v="0"/>
    <x v="4"/>
    <x v="0"/>
    <x v="1"/>
    <x v="138"/>
    <n v="3"/>
    <n v="350"/>
    <n v="95900"/>
    <n v="3836"/>
    <n v="92064"/>
    <n v="71240"/>
    <n v="20824"/>
    <x v="2"/>
    <n v="12"/>
    <x v="2"/>
    <x v="0"/>
  </r>
  <r>
    <x v="1"/>
    <x v="0"/>
    <x v="1"/>
    <x v="1"/>
    <x v="139"/>
    <n v="5"/>
    <n v="15"/>
    <n v="29505"/>
    <n v="1180.2"/>
    <n v="28324.799999999999"/>
    <n v="19670"/>
    <n v="8654.7999999999993"/>
    <x v="3"/>
    <n v="3"/>
    <x v="3"/>
    <x v="0"/>
  </r>
  <r>
    <x v="4"/>
    <x v="1"/>
    <x v="1"/>
    <x v="1"/>
    <x v="140"/>
    <n v="5"/>
    <n v="300"/>
    <n v="557700"/>
    <n v="22308"/>
    <n v="535392"/>
    <n v="464750"/>
    <n v="70642"/>
    <x v="5"/>
    <n v="8"/>
    <x v="5"/>
    <x v="0"/>
  </r>
  <r>
    <x v="0"/>
    <x v="0"/>
    <x v="1"/>
    <x v="1"/>
    <x v="136"/>
    <n v="5"/>
    <n v="7"/>
    <n v="19957"/>
    <n v="798.28"/>
    <n v="19158.72"/>
    <n v="14255"/>
    <n v="4903.7200000000012"/>
    <x v="7"/>
    <n v="10"/>
    <x v="7"/>
    <x v="1"/>
  </r>
  <r>
    <x v="4"/>
    <x v="1"/>
    <x v="1"/>
    <x v="1"/>
    <x v="137"/>
    <n v="5"/>
    <n v="300"/>
    <n v="606300"/>
    <n v="24252"/>
    <n v="582048"/>
    <n v="505250"/>
    <n v="76798"/>
    <x v="10"/>
    <n v="10"/>
    <x v="7"/>
    <x v="0"/>
  </r>
  <r>
    <x v="3"/>
    <x v="3"/>
    <x v="1"/>
    <x v="1"/>
    <x v="141"/>
    <n v="5"/>
    <n v="125"/>
    <n v="142250"/>
    <n v="5690"/>
    <n v="136560"/>
    <n v="136560"/>
    <n v="0"/>
    <x v="2"/>
    <n v="12"/>
    <x v="2"/>
    <x v="0"/>
  </r>
  <r>
    <x v="0"/>
    <x v="0"/>
    <x v="2"/>
    <x v="1"/>
    <x v="142"/>
    <n v="10"/>
    <n v="7"/>
    <n v="29757"/>
    <n v="1190.28"/>
    <n v="28566.720000000001"/>
    <n v="21255"/>
    <n v="7311.7199999999993"/>
    <x v="0"/>
    <n v="1"/>
    <x v="0"/>
    <x v="0"/>
  </r>
  <r>
    <x v="3"/>
    <x v="1"/>
    <x v="2"/>
    <x v="1"/>
    <x v="143"/>
    <n v="10"/>
    <n v="125"/>
    <n v="99375"/>
    <n v="3975"/>
    <n v="95400"/>
    <n v="95400"/>
    <n v="0"/>
    <x v="3"/>
    <n v="3"/>
    <x v="3"/>
    <x v="0"/>
  </r>
  <r>
    <x v="4"/>
    <x v="1"/>
    <x v="2"/>
    <x v="1"/>
    <x v="144"/>
    <n v="10"/>
    <n v="300"/>
    <n v="424350"/>
    <n v="16974"/>
    <n v="407376"/>
    <n v="353625"/>
    <n v="53751"/>
    <x v="13"/>
    <n v="4"/>
    <x v="10"/>
    <x v="0"/>
  </r>
  <r>
    <x v="4"/>
    <x v="4"/>
    <x v="2"/>
    <x v="1"/>
    <x v="145"/>
    <n v="10"/>
    <n v="300"/>
    <n v="875400"/>
    <n v="35016"/>
    <n v="840384"/>
    <n v="729500"/>
    <n v="110884"/>
    <x v="14"/>
    <n v="5"/>
    <x v="11"/>
    <x v="0"/>
  </r>
  <r>
    <x v="0"/>
    <x v="4"/>
    <x v="2"/>
    <x v="1"/>
    <x v="146"/>
    <n v="10"/>
    <n v="350"/>
    <n v="1207500"/>
    <n v="48300"/>
    <n v="1159200"/>
    <n v="897000"/>
    <n v="262200"/>
    <x v="4"/>
    <n v="7"/>
    <x v="4"/>
    <x v="0"/>
  </r>
  <r>
    <x v="3"/>
    <x v="2"/>
    <x v="2"/>
    <x v="1"/>
    <x v="147"/>
    <n v="10"/>
    <n v="125"/>
    <n v="373500"/>
    <n v="14940"/>
    <n v="358560"/>
    <n v="358560"/>
    <n v="0"/>
    <x v="4"/>
    <n v="7"/>
    <x v="4"/>
    <x v="0"/>
  </r>
  <r>
    <x v="1"/>
    <x v="0"/>
    <x v="2"/>
    <x v="1"/>
    <x v="148"/>
    <n v="10"/>
    <n v="15"/>
    <n v="3270"/>
    <n v="130.80000000000001"/>
    <n v="3139.2"/>
    <n v="2180"/>
    <n v="959.19999999999982"/>
    <x v="6"/>
    <n v="9"/>
    <x v="6"/>
    <x v="0"/>
  </r>
  <r>
    <x v="0"/>
    <x v="0"/>
    <x v="2"/>
    <x v="1"/>
    <x v="149"/>
    <n v="10"/>
    <n v="20"/>
    <n v="41480"/>
    <n v="1659.2"/>
    <n v="39820.800000000003"/>
    <n v="20740"/>
    <n v="19080.800000000003"/>
    <x v="6"/>
    <n v="9"/>
    <x v="6"/>
    <x v="0"/>
  </r>
  <r>
    <x v="0"/>
    <x v="4"/>
    <x v="2"/>
    <x v="1"/>
    <x v="150"/>
    <n v="10"/>
    <n v="20"/>
    <n v="21120"/>
    <n v="844.8"/>
    <n v="20275.2"/>
    <n v="10560"/>
    <n v="9715.2000000000007"/>
    <x v="6"/>
    <n v="9"/>
    <x v="6"/>
    <x v="0"/>
  </r>
  <r>
    <x v="1"/>
    <x v="4"/>
    <x v="2"/>
    <x v="1"/>
    <x v="151"/>
    <n v="10"/>
    <n v="15"/>
    <n v="10065"/>
    <n v="402.6"/>
    <n v="9662.4"/>
    <n v="6710"/>
    <n v="2952.3999999999996"/>
    <x v="7"/>
    <n v="10"/>
    <x v="7"/>
    <x v="1"/>
  </r>
  <r>
    <x v="1"/>
    <x v="3"/>
    <x v="2"/>
    <x v="1"/>
    <x v="62"/>
    <n v="10"/>
    <n v="15"/>
    <n v="22710"/>
    <n v="908.4"/>
    <n v="21801.599999999999"/>
    <n v="15140"/>
    <n v="6661.5999999999985"/>
    <x v="7"/>
    <n v="10"/>
    <x v="7"/>
    <x v="1"/>
  </r>
  <r>
    <x v="0"/>
    <x v="4"/>
    <x v="2"/>
    <x v="1"/>
    <x v="138"/>
    <n v="10"/>
    <n v="350"/>
    <n v="95900"/>
    <n v="3836"/>
    <n v="92064"/>
    <n v="71240"/>
    <n v="20824"/>
    <x v="2"/>
    <n v="12"/>
    <x v="2"/>
    <x v="0"/>
  </r>
  <r>
    <x v="3"/>
    <x v="3"/>
    <x v="2"/>
    <x v="1"/>
    <x v="141"/>
    <n v="10"/>
    <n v="125"/>
    <n v="142250"/>
    <n v="5690"/>
    <n v="136560"/>
    <n v="136560"/>
    <n v="0"/>
    <x v="2"/>
    <n v="12"/>
    <x v="2"/>
    <x v="0"/>
  </r>
  <r>
    <x v="2"/>
    <x v="4"/>
    <x v="3"/>
    <x v="1"/>
    <x v="152"/>
    <n v="120"/>
    <n v="12"/>
    <n v="17580"/>
    <n v="703.2"/>
    <n v="16876.8"/>
    <n v="4395"/>
    <n v="12481.8"/>
    <x v="3"/>
    <n v="3"/>
    <x v="3"/>
    <x v="0"/>
  </r>
  <r>
    <x v="0"/>
    <x v="0"/>
    <x v="3"/>
    <x v="1"/>
    <x v="153"/>
    <n v="120"/>
    <n v="20"/>
    <n v="52920"/>
    <n v="2116.8000000000002"/>
    <n v="50803.199999999997"/>
    <n v="26460"/>
    <n v="24343.199999999997"/>
    <x v="9"/>
    <n v="9"/>
    <x v="6"/>
    <x v="1"/>
  </r>
  <r>
    <x v="0"/>
    <x v="2"/>
    <x v="3"/>
    <x v="1"/>
    <x v="154"/>
    <n v="120"/>
    <n v="350"/>
    <n v="761950"/>
    <n v="30478"/>
    <n v="731472"/>
    <n v="566020"/>
    <n v="165452"/>
    <x v="10"/>
    <n v="10"/>
    <x v="7"/>
    <x v="0"/>
  </r>
  <r>
    <x v="2"/>
    <x v="2"/>
    <x v="4"/>
    <x v="1"/>
    <x v="155"/>
    <n v="250"/>
    <n v="12"/>
    <n v="10392"/>
    <n v="415.68"/>
    <n v="9976.32"/>
    <n v="2598"/>
    <n v="7378.32"/>
    <x v="14"/>
    <n v="5"/>
    <x v="11"/>
    <x v="0"/>
  </r>
  <r>
    <x v="0"/>
    <x v="4"/>
    <x v="4"/>
    <x v="1"/>
    <x v="156"/>
    <n v="250"/>
    <n v="350"/>
    <n v="122150"/>
    <n v="4886"/>
    <n v="117264"/>
    <n v="90740"/>
    <n v="26524"/>
    <x v="9"/>
    <n v="9"/>
    <x v="6"/>
    <x v="1"/>
  </r>
  <r>
    <x v="0"/>
    <x v="2"/>
    <x v="4"/>
    <x v="1"/>
    <x v="154"/>
    <n v="250"/>
    <n v="350"/>
    <n v="761950"/>
    <n v="30478"/>
    <n v="731472"/>
    <n v="566020"/>
    <n v="165452"/>
    <x v="10"/>
    <n v="10"/>
    <x v="7"/>
    <x v="0"/>
  </r>
  <r>
    <x v="1"/>
    <x v="3"/>
    <x v="4"/>
    <x v="1"/>
    <x v="62"/>
    <n v="250"/>
    <n v="15"/>
    <n v="22710"/>
    <n v="908.4"/>
    <n v="21801.599999999999"/>
    <n v="15140"/>
    <n v="6661.5999999999985"/>
    <x v="7"/>
    <n v="10"/>
    <x v="7"/>
    <x v="1"/>
  </r>
  <r>
    <x v="0"/>
    <x v="3"/>
    <x v="5"/>
    <x v="1"/>
    <x v="157"/>
    <n v="260"/>
    <n v="350"/>
    <n v="652750"/>
    <n v="26110"/>
    <n v="626640"/>
    <n v="484900"/>
    <n v="141740"/>
    <x v="8"/>
    <n v="2"/>
    <x v="8"/>
    <x v="0"/>
  </r>
  <r>
    <x v="3"/>
    <x v="3"/>
    <x v="5"/>
    <x v="1"/>
    <x v="158"/>
    <n v="260"/>
    <n v="125"/>
    <n v="134250"/>
    <n v="5370"/>
    <n v="128880"/>
    <n v="128880"/>
    <n v="0"/>
    <x v="13"/>
    <n v="4"/>
    <x v="10"/>
    <x v="0"/>
  </r>
  <r>
    <x v="0"/>
    <x v="1"/>
    <x v="5"/>
    <x v="1"/>
    <x v="159"/>
    <n v="260"/>
    <n v="350"/>
    <n v="667450"/>
    <n v="26698"/>
    <n v="640752"/>
    <n v="495820"/>
    <n v="144932"/>
    <x v="6"/>
    <n v="9"/>
    <x v="6"/>
    <x v="0"/>
  </r>
  <r>
    <x v="1"/>
    <x v="4"/>
    <x v="5"/>
    <x v="1"/>
    <x v="151"/>
    <n v="260"/>
    <n v="15"/>
    <n v="10065"/>
    <n v="402.6"/>
    <n v="9662.4"/>
    <n v="6710"/>
    <n v="2952.3999999999996"/>
    <x v="7"/>
    <n v="10"/>
    <x v="7"/>
    <x v="1"/>
  </r>
  <r>
    <x v="0"/>
    <x v="0"/>
    <x v="5"/>
    <x v="1"/>
    <x v="160"/>
    <n v="260"/>
    <n v="350"/>
    <n v="622300"/>
    <n v="24892"/>
    <n v="597408"/>
    <n v="462280"/>
    <n v="135128"/>
    <x v="12"/>
    <n v="12"/>
    <x v="2"/>
    <x v="1"/>
  </r>
  <r>
    <x v="0"/>
    <x v="1"/>
    <x v="1"/>
    <x v="2"/>
    <x v="161"/>
    <n v="5"/>
    <n v="7"/>
    <n v="8113"/>
    <n v="405.65"/>
    <n v="7707.35"/>
    <n v="5795"/>
    <n v="1912.3500000000004"/>
    <x v="7"/>
    <n v="10"/>
    <x v="7"/>
    <x v="1"/>
  </r>
  <r>
    <x v="0"/>
    <x v="1"/>
    <x v="2"/>
    <x v="2"/>
    <x v="162"/>
    <n v="10"/>
    <n v="7"/>
    <n v="9604"/>
    <n v="480.2"/>
    <n v="9123.7999999999993"/>
    <n v="6860"/>
    <n v="2263.7999999999993"/>
    <x v="0"/>
    <n v="1"/>
    <x v="0"/>
    <x v="0"/>
  </r>
  <r>
    <x v="0"/>
    <x v="0"/>
    <x v="2"/>
    <x v="2"/>
    <x v="163"/>
    <n v="10"/>
    <n v="7"/>
    <n v="16443"/>
    <n v="822.15"/>
    <n v="15620.85"/>
    <n v="11745"/>
    <n v="3875.8500000000004"/>
    <x v="9"/>
    <n v="9"/>
    <x v="6"/>
    <x v="1"/>
  </r>
  <r>
    <x v="0"/>
    <x v="3"/>
    <x v="2"/>
    <x v="2"/>
    <x v="164"/>
    <n v="10"/>
    <n v="7"/>
    <n v="18823"/>
    <n v="941.15"/>
    <n v="17881.849999999999"/>
    <n v="13445"/>
    <n v="4436.8499999999985"/>
    <x v="10"/>
    <n v="10"/>
    <x v="7"/>
    <x v="0"/>
  </r>
  <r>
    <x v="2"/>
    <x v="0"/>
    <x v="2"/>
    <x v="2"/>
    <x v="165"/>
    <n v="10"/>
    <n v="12"/>
    <n v="29172"/>
    <n v="1458.6"/>
    <n v="27713.4"/>
    <n v="7293"/>
    <n v="20420.400000000001"/>
    <x v="2"/>
    <n v="12"/>
    <x v="2"/>
    <x v="0"/>
  </r>
  <r>
    <x v="2"/>
    <x v="0"/>
    <x v="3"/>
    <x v="2"/>
    <x v="165"/>
    <n v="120"/>
    <n v="12"/>
    <n v="29172"/>
    <n v="1458.6"/>
    <n v="27713.4"/>
    <n v="7293"/>
    <n v="20420.400000000001"/>
    <x v="2"/>
    <n v="12"/>
    <x v="2"/>
    <x v="0"/>
  </r>
  <r>
    <x v="0"/>
    <x v="3"/>
    <x v="4"/>
    <x v="2"/>
    <x v="164"/>
    <n v="250"/>
    <n v="7"/>
    <n v="18823"/>
    <n v="941.15"/>
    <n v="17881.849999999999"/>
    <n v="13445"/>
    <n v="4436.8499999999985"/>
    <x v="10"/>
    <n v="10"/>
    <x v="7"/>
    <x v="0"/>
  </r>
  <r>
    <x v="0"/>
    <x v="3"/>
    <x v="5"/>
    <x v="2"/>
    <x v="166"/>
    <n v="260"/>
    <n v="7"/>
    <n v="11781"/>
    <n v="589.04999999999995"/>
    <n v="11191.95"/>
    <n v="8415"/>
    <n v="2776.9500000000007"/>
    <x v="4"/>
    <n v="7"/>
    <x v="4"/>
    <x v="0"/>
  </r>
  <r>
    <x v="2"/>
    <x v="3"/>
    <x v="5"/>
    <x v="2"/>
    <x v="167"/>
    <n v="260"/>
    <n v="12"/>
    <n v="13476"/>
    <n v="673.8"/>
    <n v="12802.2"/>
    <n v="3369"/>
    <n v="9433.2000000000007"/>
    <x v="5"/>
    <n v="8"/>
    <x v="5"/>
    <x v="0"/>
  </r>
  <r>
    <x v="0"/>
    <x v="1"/>
    <x v="5"/>
    <x v="2"/>
    <x v="161"/>
    <n v="260"/>
    <n v="7"/>
    <n v="8113"/>
    <n v="405.65"/>
    <n v="7707.35"/>
    <n v="5795"/>
    <n v="1912.3500000000004"/>
    <x v="7"/>
    <n v="10"/>
    <x v="7"/>
    <x v="1"/>
  </r>
  <r>
    <x v="2"/>
    <x v="2"/>
    <x v="0"/>
    <x v="2"/>
    <x v="157"/>
    <n v="3"/>
    <n v="12"/>
    <n v="22380"/>
    <n v="1119"/>
    <n v="21261"/>
    <n v="5595"/>
    <n v="15666"/>
    <x v="8"/>
    <n v="2"/>
    <x v="8"/>
    <x v="0"/>
  </r>
  <r>
    <x v="2"/>
    <x v="1"/>
    <x v="0"/>
    <x v="2"/>
    <x v="168"/>
    <n v="3"/>
    <n v="12"/>
    <n v="13392"/>
    <n v="669.6"/>
    <n v="12722.4"/>
    <n v="3348"/>
    <n v="9374.4"/>
    <x v="8"/>
    <n v="2"/>
    <x v="8"/>
    <x v="0"/>
  </r>
  <r>
    <x v="0"/>
    <x v="2"/>
    <x v="0"/>
    <x v="2"/>
    <x v="169"/>
    <n v="3"/>
    <n v="20"/>
    <n v="31260"/>
    <n v="1563"/>
    <n v="29697"/>
    <n v="15630"/>
    <n v="14067"/>
    <x v="14"/>
    <n v="5"/>
    <x v="11"/>
    <x v="0"/>
  </r>
  <r>
    <x v="4"/>
    <x v="4"/>
    <x v="0"/>
    <x v="2"/>
    <x v="170"/>
    <n v="3"/>
    <n v="300"/>
    <n v="297300"/>
    <n v="14865"/>
    <n v="282435"/>
    <n v="247750"/>
    <n v="34685"/>
    <x v="1"/>
    <n v="6"/>
    <x v="1"/>
    <x v="0"/>
  </r>
  <r>
    <x v="0"/>
    <x v="1"/>
    <x v="0"/>
    <x v="2"/>
    <x v="171"/>
    <n v="3"/>
    <n v="7"/>
    <n v="7112"/>
    <n v="355.6"/>
    <n v="6756.4"/>
    <n v="5080"/>
    <n v="1676.3999999999996"/>
    <x v="11"/>
    <n v="11"/>
    <x v="9"/>
    <x v="1"/>
  </r>
  <r>
    <x v="1"/>
    <x v="3"/>
    <x v="0"/>
    <x v="2"/>
    <x v="172"/>
    <n v="3"/>
    <n v="15"/>
    <n v="41865"/>
    <n v="2093.25"/>
    <n v="39771.75"/>
    <n v="27910"/>
    <n v="11861.75"/>
    <x v="15"/>
    <n v="11"/>
    <x v="9"/>
    <x v="0"/>
  </r>
  <r>
    <x v="0"/>
    <x v="4"/>
    <x v="0"/>
    <x v="2"/>
    <x v="173"/>
    <n v="3"/>
    <n v="7"/>
    <n v="3990"/>
    <n v="199.5"/>
    <n v="3790.5"/>
    <n v="2850"/>
    <n v="940.5"/>
    <x v="2"/>
    <n v="12"/>
    <x v="2"/>
    <x v="0"/>
  </r>
  <r>
    <x v="0"/>
    <x v="2"/>
    <x v="0"/>
    <x v="2"/>
    <x v="174"/>
    <n v="3"/>
    <n v="7"/>
    <n v="17409"/>
    <n v="870.45"/>
    <n v="16538.55"/>
    <n v="12435"/>
    <n v="4103.5499999999993"/>
    <x v="2"/>
    <n v="12"/>
    <x v="2"/>
    <x v="0"/>
  </r>
  <r>
    <x v="0"/>
    <x v="2"/>
    <x v="1"/>
    <x v="2"/>
    <x v="175"/>
    <n v="5"/>
    <n v="350"/>
    <n v="484575"/>
    <n v="24228.75"/>
    <n v="460346.25"/>
    <n v="359970"/>
    <n v="100376.25"/>
    <x v="0"/>
    <n v="1"/>
    <x v="0"/>
    <x v="0"/>
  </r>
  <r>
    <x v="3"/>
    <x v="4"/>
    <x v="1"/>
    <x v="2"/>
    <x v="176"/>
    <n v="5"/>
    <n v="125"/>
    <n v="453375"/>
    <n v="22668.75"/>
    <n v="430706.25"/>
    <n v="435240"/>
    <n v="-4533.75"/>
    <x v="4"/>
    <n v="7"/>
    <x v="4"/>
    <x v="0"/>
  </r>
  <r>
    <x v="0"/>
    <x v="3"/>
    <x v="1"/>
    <x v="2"/>
    <x v="177"/>
    <n v="5"/>
    <n v="350"/>
    <n v="252000"/>
    <n v="12600"/>
    <n v="239400"/>
    <n v="187200"/>
    <n v="52200"/>
    <x v="9"/>
    <n v="9"/>
    <x v="6"/>
    <x v="1"/>
  </r>
  <r>
    <x v="2"/>
    <x v="1"/>
    <x v="1"/>
    <x v="2"/>
    <x v="178"/>
    <n v="5"/>
    <n v="12"/>
    <n v="28104"/>
    <n v="1405.2"/>
    <n v="26698.799999999999"/>
    <n v="7026"/>
    <n v="19672.8"/>
    <x v="15"/>
    <n v="11"/>
    <x v="9"/>
    <x v="0"/>
  </r>
  <r>
    <x v="4"/>
    <x v="3"/>
    <x v="1"/>
    <x v="2"/>
    <x v="179"/>
    <n v="5"/>
    <n v="300"/>
    <n v="330000"/>
    <n v="16500"/>
    <n v="313500"/>
    <n v="275000"/>
    <n v="38500"/>
    <x v="12"/>
    <n v="12"/>
    <x v="2"/>
    <x v="1"/>
  </r>
  <r>
    <x v="0"/>
    <x v="2"/>
    <x v="2"/>
    <x v="2"/>
    <x v="180"/>
    <n v="10"/>
    <n v="20"/>
    <n v="26060"/>
    <n v="1303"/>
    <n v="24757"/>
    <n v="13030"/>
    <n v="11727"/>
    <x v="8"/>
    <n v="2"/>
    <x v="8"/>
    <x v="0"/>
  </r>
  <r>
    <x v="3"/>
    <x v="4"/>
    <x v="2"/>
    <x v="2"/>
    <x v="181"/>
    <n v="10"/>
    <n v="125"/>
    <n v="374000"/>
    <n v="18700"/>
    <n v="355300"/>
    <n v="359040"/>
    <n v="-3740"/>
    <x v="3"/>
    <n v="3"/>
    <x v="3"/>
    <x v="0"/>
  </r>
  <r>
    <x v="3"/>
    <x v="2"/>
    <x v="2"/>
    <x v="2"/>
    <x v="182"/>
    <n v="10"/>
    <n v="125"/>
    <n v="298125"/>
    <n v="14906.25"/>
    <n v="283218.75"/>
    <n v="286200"/>
    <n v="-2981.25"/>
    <x v="3"/>
    <n v="3"/>
    <x v="3"/>
    <x v="0"/>
  </r>
  <r>
    <x v="4"/>
    <x v="3"/>
    <x v="2"/>
    <x v="2"/>
    <x v="183"/>
    <n v="10"/>
    <n v="300"/>
    <n v="482100"/>
    <n v="24105"/>
    <n v="457995"/>
    <n v="401750"/>
    <n v="56245"/>
    <x v="13"/>
    <n v="4"/>
    <x v="10"/>
    <x v="0"/>
  </r>
  <r>
    <x v="0"/>
    <x v="4"/>
    <x v="2"/>
    <x v="2"/>
    <x v="184"/>
    <n v="10"/>
    <n v="7"/>
    <n v="16289"/>
    <n v="814.45"/>
    <n v="15474.55"/>
    <n v="11635"/>
    <n v="3839.5499999999993"/>
    <x v="14"/>
    <n v="5"/>
    <x v="11"/>
    <x v="0"/>
  </r>
  <r>
    <x v="4"/>
    <x v="4"/>
    <x v="2"/>
    <x v="2"/>
    <x v="170"/>
    <n v="10"/>
    <n v="300"/>
    <n v="297300"/>
    <n v="14865"/>
    <n v="282435"/>
    <n v="247750"/>
    <n v="34685"/>
    <x v="1"/>
    <n v="6"/>
    <x v="1"/>
    <x v="0"/>
  </r>
  <r>
    <x v="0"/>
    <x v="4"/>
    <x v="2"/>
    <x v="2"/>
    <x v="185"/>
    <n v="10"/>
    <n v="350"/>
    <n v="210700"/>
    <n v="10535"/>
    <n v="200165"/>
    <n v="156520"/>
    <n v="43645"/>
    <x v="1"/>
    <n v="6"/>
    <x v="1"/>
    <x v="0"/>
  </r>
  <r>
    <x v="1"/>
    <x v="2"/>
    <x v="2"/>
    <x v="2"/>
    <x v="186"/>
    <n v="10"/>
    <n v="15"/>
    <n v="39300"/>
    <n v="1965"/>
    <n v="37335"/>
    <n v="26200"/>
    <n v="11135"/>
    <x v="6"/>
    <n v="9"/>
    <x v="6"/>
    <x v="0"/>
  </r>
  <r>
    <x v="0"/>
    <x v="0"/>
    <x v="2"/>
    <x v="2"/>
    <x v="187"/>
    <n v="10"/>
    <n v="350"/>
    <n v="429800"/>
    <n v="21490"/>
    <n v="408310"/>
    <n v="319280"/>
    <n v="89030"/>
    <x v="7"/>
    <n v="10"/>
    <x v="7"/>
    <x v="1"/>
  </r>
  <r>
    <x v="0"/>
    <x v="0"/>
    <x v="2"/>
    <x v="2"/>
    <x v="188"/>
    <n v="10"/>
    <n v="20"/>
    <n v="27780"/>
    <n v="1389"/>
    <n v="26391"/>
    <n v="13890"/>
    <n v="12501"/>
    <x v="7"/>
    <n v="10"/>
    <x v="7"/>
    <x v="1"/>
  </r>
  <r>
    <x v="3"/>
    <x v="4"/>
    <x v="2"/>
    <x v="2"/>
    <x v="189"/>
    <n v="10"/>
    <n v="125"/>
    <n v="107625"/>
    <n v="5381.25"/>
    <n v="102243.75"/>
    <n v="103320"/>
    <n v="-1076.25"/>
    <x v="10"/>
    <n v="10"/>
    <x v="7"/>
    <x v="0"/>
  </r>
  <r>
    <x v="3"/>
    <x v="2"/>
    <x v="2"/>
    <x v="2"/>
    <x v="190"/>
    <n v="10"/>
    <n v="125"/>
    <n v="88000"/>
    <n v="4400"/>
    <n v="83600"/>
    <n v="84480"/>
    <n v="-880"/>
    <x v="7"/>
    <n v="10"/>
    <x v="7"/>
    <x v="1"/>
  </r>
  <r>
    <x v="0"/>
    <x v="0"/>
    <x v="2"/>
    <x v="2"/>
    <x v="191"/>
    <n v="10"/>
    <n v="20"/>
    <n v="36040"/>
    <n v="1802"/>
    <n v="34238"/>
    <n v="18020"/>
    <n v="16218"/>
    <x v="12"/>
    <n v="12"/>
    <x v="2"/>
    <x v="1"/>
  </r>
  <r>
    <x v="0"/>
    <x v="4"/>
    <x v="2"/>
    <x v="2"/>
    <x v="192"/>
    <n v="10"/>
    <n v="20"/>
    <n v="53260"/>
    <n v="2663"/>
    <n v="50597"/>
    <n v="26630"/>
    <n v="23967"/>
    <x v="2"/>
    <n v="12"/>
    <x v="2"/>
    <x v="0"/>
  </r>
  <r>
    <x v="0"/>
    <x v="2"/>
    <x v="2"/>
    <x v="2"/>
    <x v="193"/>
    <n v="10"/>
    <n v="7"/>
    <n v="14952"/>
    <n v="747.6"/>
    <n v="14204.4"/>
    <n v="10680"/>
    <n v="3524.3999999999996"/>
    <x v="12"/>
    <n v="12"/>
    <x v="2"/>
    <x v="1"/>
  </r>
  <r>
    <x v="1"/>
    <x v="1"/>
    <x v="2"/>
    <x v="2"/>
    <x v="194"/>
    <n v="10"/>
    <n v="15"/>
    <n v="31740"/>
    <n v="1587"/>
    <n v="30153"/>
    <n v="21160"/>
    <n v="8993"/>
    <x v="12"/>
    <n v="12"/>
    <x v="2"/>
    <x v="1"/>
  </r>
  <r>
    <x v="1"/>
    <x v="4"/>
    <x v="3"/>
    <x v="2"/>
    <x v="195"/>
    <n v="120"/>
    <n v="15"/>
    <n v="8325"/>
    <n v="416.25"/>
    <n v="7908.75"/>
    <n v="5550"/>
    <n v="2358.75"/>
    <x v="0"/>
    <n v="1"/>
    <x v="0"/>
    <x v="0"/>
  </r>
  <r>
    <x v="1"/>
    <x v="3"/>
    <x v="3"/>
    <x v="2"/>
    <x v="196"/>
    <n v="120"/>
    <n v="15"/>
    <n v="42915"/>
    <n v="2145.75"/>
    <n v="40769.25"/>
    <n v="28610"/>
    <n v="12159.25"/>
    <x v="0"/>
    <n v="1"/>
    <x v="0"/>
    <x v="0"/>
  </r>
  <r>
    <x v="3"/>
    <x v="1"/>
    <x v="3"/>
    <x v="2"/>
    <x v="197"/>
    <n v="120"/>
    <n v="125"/>
    <n v="100875"/>
    <n v="5043.75"/>
    <n v="95831.25"/>
    <n v="96840"/>
    <n v="-1008.75"/>
    <x v="8"/>
    <n v="2"/>
    <x v="8"/>
    <x v="0"/>
  </r>
  <r>
    <x v="0"/>
    <x v="4"/>
    <x v="3"/>
    <x v="2"/>
    <x v="185"/>
    <n v="120"/>
    <n v="350"/>
    <n v="210700"/>
    <n v="10535"/>
    <n v="200165"/>
    <n v="156520"/>
    <n v="43645"/>
    <x v="1"/>
    <n v="6"/>
    <x v="1"/>
    <x v="0"/>
  </r>
  <r>
    <x v="0"/>
    <x v="4"/>
    <x v="3"/>
    <x v="2"/>
    <x v="198"/>
    <n v="120"/>
    <n v="20"/>
    <n v="56640"/>
    <n v="2832"/>
    <n v="53808"/>
    <n v="28320"/>
    <n v="25488"/>
    <x v="5"/>
    <n v="8"/>
    <x v="5"/>
    <x v="0"/>
  </r>
  <r>
    <x v="0"/>
    <x v="2"/>
    <x v="3"/>
    <x v="2"/>
    <x v="199"/>
    <n v="120"/>
    <n v="20"/>
    <n v="31580"/>
    <n v="1579"/>
    <n v="30001"/>
    <n v="15790"/>
    <n v="14211"/>
    <x v="5"/>
    <n v="8"/>
    <x v="5"/>
    <x v="0"/>
  </r>
  <r>
    <x v="3"/>
    <x v="4"/>
    <x v="3"/>
    <x v="2"/>
    <x v="189"/>
    <n v="120"/>
    <n v="125"/>
    <n v="107625"/>
    <n v="5381.25"/>
    <n v="102243.75"/>
    <n v="103320"/>
    <n v="-1076.25"/>
    <x v="10"/>
    <n v="10"/>
    <x v="7"/>
    <x v="0"/>
  </r>
  <r>
    <x v="3"/>
    <x v="2"/>
    <x v="3"/>
    <x v="2"/>
    <x v="190"/>
    <n v="120"/>
    <n v="125"/>
    <n v="88000"/>
    <n v="4400"/>
    <n v="83600"/>
    <n v="84480"/>
    <n v="-880"/>
    <x v="7"/>
    <n v="10"/>
    <x v="7"/>
    <x v="1"/>
  </r>
  <r>
    <x v="0"/>
    <x v="2"/>
    <x v="3"/>
    <x v="2"/>
    <x v="200"/>
    <n v="120"/>
    <n v="20"/>
    <n v="20660"/>
    <n v="1033"/>
    <n v="19627"/>
    <n v="10330"/>
    <n v="9297"/>
    <x v="12"/>
    <n v="12"/>
    <x v="2"/>
    <x v="1"/>
  </r>
  <r>
    <x v="4"/>
    <x v="1"/>
    <x v="3"/>
    <x v="2"/>
    <x v="201"/>
    <n v="120"/>
    <n v="300"/>
    <n v="375000"/>
    <n v="18750"/>
    <n v="356250"/>
    <n v="312500"/>
    <n v="43750"/>
    <x v="2"/>
    <n v="12"/>
    <x v="2"/>
    <x v="0"/>
  </r>
  <r>
    <x v="0"/>
    <x v="0"/>
    <x v="4"/>
    <x v="2"/>
    <x v="188"/>
    <n v="250"/>
    <n v="20"/>
    <n v="27780"/>
    <n v="1389"/>
    <n v="26391"/>
    <n v="13890"/>
    <n v="12501"/>
    <x v="7"/>
    <n v="10"/>
    <x v="7"/>
    <x v="1"/>
  </r>
  <r>
    <x v="0"/>
    <x v="4"/>
    <x v="4"/>
    <x v="2"/>
    <x v="202"/>
    <n v="250"/>
    <n v="20"/>
    <n v="25300"/>
    <n v="1265"/>
    <n v="24035"/>
    <n v="12650"/>
    <n v="11385"/>
    <x v="11"/>
    <n v="11"/>
    <x v="9"/>
    <x v="1"/>
  </r>
  <r>
    <x v="0"/>
    <x v="1"/>
    <x v="4"/>
    <x v="2"/>
    <x v="203"/>
    <n v="250"/>
    <n v="20"/>
    <n v="45940"/>
    <n v="2297"/>
    <n v="43643"/>
    <n v="22970"/>
    <n v="20673"/>
    <x v="11"/>
    <n v="11"/>
    <x v="9"/>
    <x v="1"/>
  </r>
  <r>
    <x v="0"/>
    <x v="4"/>
    <x v="4"/>
    <x v="2"/>
    <x v="192"/>
    <n v="250"/>
    <n v="20"/>
    <n v="53260"/>
    <n v="2663"/>
    <n v="50597"/>
    <n v="26630"/>
    <n v="23967"/>
    <x v="2"/>
    <n v="12"/>
    <x v="2"/>
    <x v="0"/>
  </r>
  <r>
    <x v="0"/>
    <x v="4"/>
    <x v="4"/>
    <x v="2"/>
    <x v="173"/>
    <n v="250"/>
    <n v="7"/>
    <n v="3990"/>
    <n v="199.5"/>
    <n v="3790.5"/>
    <n v="2850"/>
    <n v="940.5"/>
    <x v="2"/>
    <n v="12"/>
    <x v="2"/>
    <x v="0"/>
  </r>
  <r>
    <x v="0"/>
    <x v="2"/>
    <x v="4"/>
    <x v="2"/>
    <x v="174"/>
    <n v="250"/>
    <n v="7"/>
    <n v="17409"/>
    <n v="870.45"/>
    <n v="16538.55"/>
    <n v="12435"/>
    <n v="4103.5499999999993"/>
    <x v="2"/>
    <n v="12"/>
    <x v="2"/>
    <x v="0"/>
  </r>
  <r>
    <x v="0"/>
    <x v="1"/>
    <x v="5"/>
    <x v="2"/>
    <x v="204"/>
    <n v="260"/>
    <n v="350"/>
    <n v="472500"/>
    <n v="23625"/>
    <n v="448875"/>
    <n v="351000"/>
    <n v="97875"/>
    <x v="8"/>
    <n v="2"/>
    <x v="8"/>
    <x v="0"/>
  </r>
  <r>
    <x v="0"/>
    <x v="0"/>
    <x v="5"/>
    <x v="2"/>
    <x v="205"/>
    <n v="260"/>
    <n v="350"/>
    <n v="193200"/>
    <n v="9660"/>
    <n v="183540"/>
    <n v="143520"/>
    <n v="40020"/>
    <x v="5"/>
    <n v="8"/>
    <x v="5"/>
    <x v="0"/>
  </r>
  <r>
    <x v="0"/>
    <x v="0"/>
    <x v="5"/>
    <x v="2"/>
    <x v="187"/>
    <n v="260"/>
    <n v="350"/>
    <n v="429800"/>
    <n v="21490"/>
    <n v="408310"/>
    <n v="319280"/>
    <n v="89030"/>
    <x v="7"/>
    <n v="10"/>
    <x v="7"/>
    <x v="1"/>
  </r>
  <r>
    <x v="4"/>
    <x v="1"/>
    <x v="5"/>
    <x v="2"/>
    <x v="201"/>
    <n v="260"/>
    <n v="300"/>
    <n v="375000"/>
    <n v="18750"/>
    <n v="356250"/>
    <n v="312500"/>
    <n v="43750"/>
    <x v="2"/>
    <n v="12"/>
    <x v="2"/>
    <x v="0"/>
  </r>
  <r>
    <x v="1"/>
    <x v="2"/>
    <x v="2"/>
    <x v="2"/>
    <x v="206"/>
    <n v="10"/>
    <n v="15"/>
    <n v="57015"/>
    <n v="3420.8999999999996"/>
    <n v="53594.100000000006"/>
    <n v="38010"/>
    <n v="15584.100000000002"/>
    <x v="13"/>
    <n v="4"/>
    <x v="10"/>
    <x v="0"/>
  </r>
  <r>
    <x v="0"/>
    <x v="4"/>
    <x v="0"/>
    <x v="2"/>
    <x v="207"/>
    <n v="3"/>
    <n v="20"/>
    <n v="22350"/>
    <n v="1341"/>
    <n v="21009"/>
    <n v="11175"/>
    <n v="9834"/>
    <x v="0"/>
    <n v="1"/>
    <x v="0"/>
    <x v="0"/>
  </r>
  <r>
    <x v="1"/>
    <x v="0"/>
    <x v="0"/>
    <x v="2"/>
    <x v="126"/>
    <n v="3"/>
    <n v="15"/>
    <n v="42660"/>
    <n v="2559.6"/>
    <n v="40100.400000000001"/>
    <n v="28440"/>
    <n v="11660.400000000001"/>
    <x v="1"/>
    <n v="6"/>
    <x v="1"/>
    <x v="0"/>
  </r>
  <r>
    <x v="2"/>
    <x v="3"/>
    <x v="0"/>
    <x v="2"/>
    <x v="208"/>
    <n v="3"/>
    <n v="12"/>
    <n v="6744"/>
    <n v="404.64"/>
    <n v="6339.36"/>
    <n v="1686"/>
    <n v="4653.3599999999997"/>
    <x v="6"/>
    <n v="9"/>
    <x v="6"/>
    <x v="0"/>
  </r>
  <r>
    <x v="2"/>
    <x v="0"/>
    <x v="0"/>
    <x v="2"/>
    <x v="209"/>
    <n v="3"/>
    <n v="12"/>
    <n v="27588"/>
    <n v="1655.28"/>
    <n v="25932.720000000001"/>
    <n v="6897"/>
    <n v="19035.72"/>
    <x v="7"/>
    <n v="10"/>
    <x v="7"/>
    <x v="1"/>
  </r>
  <r>
    <x v="1"/>
    <x v="4"/>
    <x v="0"/>
    <x v="2"/>
    <x v="210"/>
    <n v="3"/>
    <n v="15"/>
    <n v="30450"/>
    <n v="1827"/>
    <n v="28623"/>
    <n v="20300"/>
    <n v="8323"/>
    <x v="15"/>
    <n v="11"/>
    <x v="9"/>
    <x v="0"/>
  </r>
  <r>
    <x v="0"/>
    <x v="4"/>
    <x v="0"/>
    <x v="2"/>
    <x v="73"/>
    <n v="3"/>
    <n v="7"/>
    <n v="1841"/>
    <n v="110.46"/>
    <n v="1730.54"/>
    <n v="1315"/>
    <n v="415.53999999999996"/>
    <x v="11"/>
    <n v="11"/>
    <x v="9"/>
    <x v="1"/>
  </r>
  <r>
    <x v="3"/>
    <x v="1"/>
    <x v="0"/>
    <x v="2"/>
    <x v="211"/>
    <n v="3"/>
    <n v="125"/>
    <n v="110875"/>
    <n v="6652.5"/>
    <n v="104222.5"/>
    <n v="106440"/>
    <n v="-2217.5"/>
    <x v="12"/>
    <n v="12"/>
    <x v="2"/>
    <x v="1"/>
  </r>
  <r>
    <x v="0"/>
    <x v="3"/>
    <x v="1"/>
    <x v="2"/>
    <x v="212"/>
    <n v="5"/>
    <n v="350"/>
    <n v="343000"/>
    <n v="20580"/>
    <n v="322420"/>
    <n v="254800"/>
    <n v="67620"/>
    <x v="13"/>
    <n v="4"/>
    <x v="10"/>
    <x v="0"/>
  </r>
  <r>
    <x v="0"/>
    <x v="1"/>
    <x v="1"/>
    <x v="2"/>
    <x v="213"/>
    <n v="5"/>
    <n v="350"/>
    <n v="511000"/>
    <n v="30660"/>
    <n v="480340"/>
    <n v="379600"/>
    <n v="100740"/>
    <x v="14"/>
    <n v="5"/>
    <x v="11"/>
    <x v="0"/>
  </r>
  <r>
    <x v="0"/>
    <x v="2"/>
    <x v="1"/>
    <x v="2"/>
    <x v="214"/>
    <n v="5"/>
    <n v="7"/>
    <n v="9821"/>
    <n v="589.26"/>
    <n v="9231.74"/>
    <n v="7015"/>
    <n v="2216.7399999999998"/>
    <x v="7"/>
    <n v="10"/>
    <x v="7"/>
    <x v="1"/>
  </r>
  <r>
    <x v="2"/>
    <x v="4"/>
    <x v="1"/>
    <x v="2"/>
    <x v="215"/>
    <n v="5"/>
    <n v="12"/>
    <n v="32676"/>
    <n v="1960.56"/>
    <n v="30715.439999999999"/>
    <n v="8169"/>
    <n v="22546.44"/>
    <x v="15"/>
    <n v="11"/>
    <x v="9"/>
    <x v="0"/>
  </r>
  <r>
    <x v="0"/>
    <x v="2"/>
    <x v="2"/>
    <x v="2"/>
    <x v="216"/>
    <n v="10"/>
    <n v="350"/>
    <n v="523600"/>
    <n v="31416"/>
    <n v="492184"/>
    <n v="388960"/>
    <n v="103224"/>
    <x v="1"/>
    <n v="6"/>
    <x v="1"/>
    <x v="0"/>
  </r>
  <r>
    <x v="2"/>
    <x v="0"/>
    <x v="2"/>
    <x v="2"/>
    <x v="209"/>
    <n v="10"/>
    <n v="12"/>
    <n v="27588"/>
    <n v="1655.28"/>
    <n v="25932.720000000001"/>
    <n v="6897"/>
    <n v="19035.72"/>
    <x v="7"/>
    <n v="10"/>
    <x v="7"/>
    <x v="1"/>
  </r>
  <r>
    <x v="0"/>
    <x v="4"/>
    <x v="2"/>
    <x v="2"/>
    <x v="64"/>
    <n v="10"/>
    <n v="350"/>
    <n v="254450"/>
    <n v="15267"/>
    <n v="239183"/>
    <n v="189020"/>
    <n v="50163"/>
    <x v="7"/>
    <n v="10"/>
    <x v="7"/>
    <x v="1"/>
  </r>
  <r>
    <x v="3"/>
    <x v="0"/>
    <x v="3"/>
    <x v="2"/>
    <x v="217"/>
    <n v="120"/>
    <n v="125"/>
    <n v="119000"/>
    <n v="7140"/>
    <n v="111860"/>
    <n v="114240"/>
    <n v="-2380"/>
    <x v="8"/>
    <n v="2"/>
    <x v="8"/>
    <x v="0"/>
  </r>
  <r>
    <x v="3"/>
    <x v="4"/>
    <x v="3"/>
    <x v="2"/>
    <x v="218"/>
    <n v="120"/>
    <n v="125"/>
    <n v="344375"/>
    <n v="20662.5"/>
    <n v="323712.5"/>
    <n v="330600"/>
    <n v="-6887.5"/>
    <x v="8"/>
    <n v="2"/>
    <x v="8"/>
    <x v="0"/>
  </r>
  <r>
    <x v="1"/>
    <x v="1"/>
    <x v="3"/>
    <x v="2"/>
    <x v="219"/>
    <n v="120"/>
    <n v="15"/>
    <n v="22950"/>
    <n v="1377"/>
    <n v="21573"/>
    <n v="15300"/>
    <n v="6273"/>
    <x v="14"/>
    <n v="5"/>
    <x v="11"/>
    <x v="0"/>
  </r>
  <r>
    <x v="0"/>
    <x v="2"/>
    <x v="3"/>
    <x v="2"/>
    <x v="216"/>
    <n v="120"/>
    <n v="350"/>
    <n v="523600"/>
    <n v="31416"/>
    <n v="492184"/>
    <n v="388960"/>
    <n v="103224"/>
    <x v="1"/>
    <n v="6"/>
    <x v="1"/>
    <x v="0"/>
  </r>
  <r>
    <x v="0"/>
    <x v="3"/>
    <x v="3"/>
    <x v="2"/>
    <x v="220"/>
    <n v="120"/>
    <n v="7"/>
    <n v="10486"/>
    <n v="629.16"/>
    <n v="9856.84"/>
    <n v="7490"/>
    <n v="2366.84"/>
    <x v="1"/>
    <n v="6"/>
    <x v="1"/>
    <x v="0"/>
  </r>
  <r>
    <x v="4"/>
    <x v="2"/>
    <x v="3"/>
    <x v="2"/>
    <x v="221"/>
    <n v="120"/>
    <n v="300"/>
    <n v="366300"/>
    <n v="21978"/>
    <n v="344322"/>
    <n v="305250"/>
    <n v="39072"/>
    <x v="7"/>
    <n v="10"/>
    <x v="7"/>
    <x v="1"/>
  </r>
  <r>
    <x v="0"/>
    <x v="2"/>
    <x v="3"/>
    <x v="2"/>
    <x v="222"/>
    <n v="120"/>
    <n v="350"/>
    <n v="726600"/>
    <n v="43596"/>
    <n v="683004"/>
    <n v="539760"/>
    <n v="143244"/>
    <x v="7"/>
    <n v="10"/>
    <x v="7"/>
    <x v="1"/>
  </r>
  <r>
    <x v="1"/>
    <x v="0"/>
    <x v="4"/>
    <x v="2"/>
    <x v="126"/>
    <n v="250"/>
    <n v="15"/>
    <n v="42660"/>
    <n v="2559.6"/>
    <n v="40100.400000000001"/>
    <n v="28440"/>
    <n v="11660.400000000001"/>
    <x v="1"/>
    <n v="6"/>
    <x v="1"/>
    <x v="0"/>
  </r>
  <r>
    <x v="0"/>
    <x v="3"/>
    <x v="4"/>
    <x v="2"/>
    <x v="220"/>
    <n v="250"/>
    <n v="7"/>
    <n v="10486"/>
    <n v="629.16"/>
    <n v="9856.84"/>
    <n v="7490"/>
    <n v="2366.84"/>
    <x v="1"/>
    <n v="6"/>
    <x v="1"/>
    <x v="0"/>
  </r>
  <r>
    <x v="4"/>
    <x v="2"/>
    <x v="4"/>
    <x v="2"/>
    <x v="221"/>
    <n v="250"/>
    <n v="300"/>
    <n v="366300"/>
    <n v="21978"/>
    <n v="344322"/>
    <n v="305250"/>
    <n v="39072"/>
    <x v="7"/>
    <n v="10"/>
    <x v="7"/>
    <x v="1"/>
  </r>
  <r>
    <x v="0"/>
    <x v="3"/>
    <x v="4"/>
    <x v="2"/>
    <x v="167"/>
    <n v="250"/>
    <n v="20"/>
    <n v="22460"/>
    <n v="1347.6"/>
    <n v="21112.400000000001"/>
    <n v="11230"/>
    <n v="9882.4000000000015"/>
    <x v="11"/>
    <n v="11"/>
    <x v="9"/>
    <x v="1"/>
  </r>
  <r>
    <x v="4"/>
    <x v="0"/>
    <x v="4"/>
    <x v="2"/>
    <x v="223"/>
    <n v="250"/>
    <n v="300"/>
    <n v="730800"/>
    <n v="43848"/>
    <n v="686952"/>
    <n v="609000"/>
    <n v="77952"/>
    <x v="12"/>
    <n v="12"/>
    <x v="2"/>
    <x v="1"/>
  </r>
  <r>
    <x v="3"/>
    <x v="2"/>
    <x v="5"/>
    <x v="2"/>
    <x v="224"/>
    <n v="260"/>
    <n v="125"/>
    <n v="248437.5"/>
    <n v="14906.25"/>
    <n v="233531.25"/>
    <n v="238500"/>
    <n v="-4968.75"/>
    <x v="0"/>
    <n v="1"/>
    <x v="0"/>
    <x v="0"/>
  </r>
  <r>
    <x v="0"/>
    <x v="3"/>
    <x v="5"/>
    <x v="2"/>
    <x v="225"/>
    <n v="260"/>
    <n v="350"/>
    <n v="587650"/>
    <n v="35259"/>
    <n v="552391"/>
    <n v="436540"/>
    <n v="115851"/>
    <x v="6"/>
    <n v="9"/>
    <x v="6"/>
    <x v="0"/>
  </r>
  <r>
    <x v="0"/>
    <x v="4"/>
    <x v="5"/>
    <x v="2"/>
    <x v="64"/>
    <n v="260"/>
    <n v="350"/>
    <n v="254450"/>
    <n v="15267"/>
    <n v="239183"/>
    <n v="189020"/>
    <n v="50163"/>
    <x v="7"/>
    <n v="10"/>
    <x v="7"/>
    <x v="1"/>
  </r>
  <r>
    <x v="0"/>
    <x v="2"/>
    <x v="5"/>
    <x v="2"/>
    <x v="214"/>
    <n v="260"/>
    <n v="7"/>
    <n v="9821"/>
    <n v="589.26"/>
    <n v="9231.74"/>
    <n v="7015"/>
    <n v="2216.7399999999998"/>
    <x v="7"/>
    <n v="10"/>
    <x v="7"/>
    <x v="1"/>
  </r>
  <r>
    <x v="0"/>
    <x v="2"/>
    <x v="5"/>
    <x v="2"/>
    <x v="222"/>
    <n v="260"/>
    <n v="350"/>
    <n v="726600"/>
    <n v="43596"/>
    <n v="683004"/>
    <n v="539760"/>
    <n v="143244"/>
    <x v="7"/>
    <n v="10"/>
    <x v="7"/>
    <x v="1"/>
  </r>
  <r>
    <x v="0"/>
    <x v="2"/>
    <x v="1"/>
    <x v="2"/>
    <x v="226"/>
    <n v="5"/>
    <n v="20"/>
    <n v="35140"/>
    <n v="2108.4"/>
    <n v="33031.599999999999"/>
    <n v="17570"/>
    <n v="15461.599999999999"/>
    <x v="7"/>
    <n v="10"/>
    <x v="7"/>
    <x v="1"/>
  </r>
  <r>
    <x v="1"/>
    <x v="4"/>
    <x v="2"/>
    <x v="2"/>
    <x v="227"/>
    <n v="10"/>
    <n v="15"/>
    <n v="32970"/>
    <n v="1978.2"/>
    <n v="30991.8"/>
    <n v="21980"/>
    <n v="9011.7999999999993"/>
    <x v="5"/>
    <n v="8"/>
    <x v="5"/>
    <x v="0"/>
  </r>
  <r>
    <x v="1"/>
    <x v="1"/>
    <x v="2"/>
    <x v="2"/>
    <x v="228"/>
    <n v="10"/>
    <n v="15"/>
    <n v="26145"/>
    <n v="1568.7"/>
    <n v="24576.3"/>
    <n v="17430"/>
    <n v="7146.2999999999993"/>
    <x v="5"/>
    <n v="8"/>
    <x v="5"/>
    <x v="0"/>
  </r>
  <r>
    <x v="1"/>
    <x v="4"/>
    <x v="2"/>
    <x v="2"/>
    <x v="229"/>
    <n v="10"/>
    <n v="15"/>
    <n v="17295"/>
    <n v="1037.7"/>
    <n v="16257.3"/>
    <n v="11530"/>
    <n v="4727.2999999999993"/>
    <x v="10"/>
    <n v="10"/>
    <x v="7"/>
    <x v="0"/>
  </r>
  <r>
    <x v="0"/>
    <x v="2"/>
    <x v="2"/>
    <x v="2"/>
    <x v="226"/>
    <n v="10"/>
    <n v="20"/>
    <n v="35140"/>
    <n v="2108.4"/>
    <n v="33031.599999999999"/>
    <n v="17570"/>
    <n v="15461.599999999999"/>
    <x v="7"/>
    <n v="10"/>
    <x v="7"/>
    <x v="1"/>
  </r>
  <r>
    <x v="0"/>
    <x v="1"/>
    <x v="3"/>
    <x v="2"/>
    <x v="230"/>
    <n v="120"/>
    <n v="20"/>
    <n v="20020"/>
    <n v="1201.2"/>
    <n v="18818.8"/>
    <n v="10010"/>
    <n v="8808.7999999999993"/>
    <x v="5"/>
    <n v="8"/>
    <x v="5"/>
    <x v="0"/>
  </r>
  <r>
    <x v="0"/>
    <x v="3"/>
    <x v="3"/>
    <x v="2"/>
    <x v="231"/>
    <n v="120"/>
    <n v="7"/>
    <n v="9331"/>
    <n v="559.86"/>
    <n v="8771.14"/>
    <n v="6665"/>
    <n v="2106.1399999999994"/>
    <x v="15"/>
    <n v="11"/>
    <x v="9"/>
    <x v="0"/>
  </r>
  <r>
    <x v="1"/>
    <x v="4"/>
    <x v="4"/>
    <x v="2"/>
    <x v="229"/>
    <n v="250"/>
    <n v="15"/>
    <n v="17295"/>
    <n v="1037.7"/>
    <n v="16257.3"/>
    <n v="11530"/>
    <n v="4727.2999999999993"/>
    <x v="10"/>
    <n v="10"/>
    <x v="7"/>
    <x v="0"/>
  </r>
  <r>
    <x v="2"/>
    <x v="3"/>
    <x v="0"/>
    <x v="2"/>
    <x v="64"/>
    <n v="3"/>
    <n v="12"/>
    <n v="8724"/>
    <n v="610.67999999999995"/>
    <n v="8113.32"/>
    <n v="2181"/>
    <n v="5932.32"/>
    <x v="8"/>
    <n v="2"/>
    <x v="8"/>
    <x v="0"/>
  </r>
  <r>
    <x v="2"/>
    <x v="0"/>
    <x v="0"/>
    <x v="2"/>
    <x v="232"/>
    <n v="3"/>
    <n v="12"/>
    <n v="22608"/>
    <n v="1582.56"/>
    <n v="21025.439999999999"/>
    <n v="5652"/>
    <n v="15373.439999999999"/>
    <x v="5"/>
    <n v="8"/>
    <x v="5"/>
    <x v="0"/>
  </r>
  <r>
    <x v="0"/>
    <x v="3"/>
    <x v="0"/>
    <x v="2"/>
    <x v="233"/>
    <n v="3"/>
    <n v="20"/>
    <n v="36680"/>
    <n v="2567.6"/>
    <n v="34112.400000000001"/>
    <n v="18340"/>
    <n v="15772.400000000001"/>
    <x v="9"/>
    <n v="9"/>
    <x v="6"/>
    <x v="1"/>
  </r>
  <r>
    <x v="2"/>
    <x v="3"/>
    <x v="1"/>
    <x v="2"/>
    <x v="234"/>
    <n v="5"/>
    <n v="12"/>
    <n v="28080"/>
    <n v="1965.6"/>
    <n v="26114.400000000001"/>
    <n v="7020"/>
    <n v="19094.400000000001"/>
    <x v="0"/>
    <n v="1"/>
    <x v="0"/>
    <x v="0"/>
  </r>
  <r>
    <x v="2"/>
    <x v="2"/>
    <x v="1"/>
    <x v="2"/>
    <x v="178"/>
    <n v="5"/>
    <n v="12"/>
    <n v="28104"/>
    <n v="1967.28"/>
    <n v="26136.720000000001"/>
    <n v="7026"/>
    <n v="19110.72"/>
    <x v="15"/>
    <n v="11"/>
    <x v="9"/>
    <x v="0"/>
  </r>
  <r>
    <x v="0"/>
    <x v="2"/>
    <x v="2"/>
    <x v="2"/>
    <x v="235"/>
    <n v="10"/>
    <n v="7"/>
    <n v="7217"/>
    <n v="505.19"/>
    <n v="6711.81"/>
    <n v="5155"/>
    <n v="1556.8100000000004"/>
    <x v="9"/>
    <n v="9"/>
    <x v="6"/>
    <x v="1"/>
  </r>
  <r>
    <x v="1"/>
    <x v="0"/>
    <x v="3"/>
    <x v="2"/>
    <x v="236"/>
    <n v="120"/>
    <n v="15"/>
    <n v="18930"/>
    <n v="1325.1"/>
    <n v="17604.900000000001"/>
    <n v="12620"/>
    <n v="4984.9000000000015"/>
    <x v="14"/>
    <n v="5"/>
    <x v="11"/>
    <x v="0"/>
  </r>
  <r>
    <x v="0"/>
    <x v="0"/>
    <x v="3"/>
    <x v="2"/>
    <x v="237"/>
    <n v="120"/>
    <n v="7"/>
    <n v="7945"/>
    <n v="556.15"/>
    <n v="7388.85"/>
    <n v="5675"/>
    <n v="1713.8500000000004"/>
    <x v="1"/>
    <n v="6"/>
    <x v="1"/>
    <x v="0"/>
  </r>
  <r>
    <x v="0"/>
    <x v="4"/>
    <x v="3"/>
    <x v="2"/>
    <x v="238"/>
    <n v="120"/>
    <n v="7"/>
    <n v="3829"/>
    <n v="268.02999999999997"/>
    <n v="3560.9700000000003"/>
    <n v="2735"/>
    <n v="825.97000000000025"/>
    <x v="15"/>
    <n v="11"/>
    <x v="9"/>
    <x v="0"/>
  </r>
  <r>
    <x v="0"/>
    <x v="0"/>
    <x v="3"/>
    <x v="2"/>
    <x v="239"/>
    <n v="120"/>
    <n v="7"/>
    <n v="11074"/>
    <n v="775.18"/>
    <n v="10298.82"/>
    <n v="7910"/>
    <n v="2388.8199999999997"/>
    <x v="2"/>
    <n v="12"/>
    <x v="2"/>
    <x v="0"/>
  </r>
  <r>
    <x v="2"/>
    <x v="2"/>
    <x v="4"/>
    <x v="2"/>
    <x v="240"/>
    <n v="250"/>
    <n v="12"/>
    <n v="20862"/>
    <n v="1460.34"/>
    <n v="19401.66"/>
    <n v="5215.5"/>
    <n v="14186.16"/>
    <x v="13"/>
    <n v="4"/>
    <x v="10"/>
    <x v="0"/>
  </r>
  <r>
    <x v="2"/>
    <x v="1"/>
    <x v="4"/>
    <x v="2"/>
    <x v="241"/>
    <n v="250"/>
    <n v="12"/>
    <n v="26580"/>
    <n v="1860.6"/>
    <n v="24719.4"/>
    <n v="6645"/>
    <n v="18074.400000000001"/>
    <x v="9"/>
    <n v="9"/>
    <x v="6"/>
    <x v="1"/>
  </r>
  <r>
    <x v="0"/>
    <x v="0"/>
    <x v="4"/>
    <x v="2"/>
    <x v="239"/>
    <n v="250"/>
    <n v="7"/>
    <n v="11074"/>
    <n v="775.18"/>
    <n v="10298.82"/>
    <n v="7910"/>
    <n v="2388.8199999999997"/>
    <x v="2"/>
    <n v="12"/>
    <x v="2"/>
    <x v="0"/>
  </r>
  <r>
    <x v="0"/>
    <x v="0"/>
    <x v="5"/>
    <x v="2"/>
    <x v="237"/>
    <n v="260"/>
    <n v="7"/>
    <n v="7945"/>
    <n v="556.15"/>
    <n v="7388.85"/>
    <n v="5675"/>
    <n v="1713.8500000000004"/>
    <x v="1"/>
    <n v="6"/>
    <x v="1"/>
    <x v="0"/>
  </r>
  <r>
    <x v="0"/>
    <x v="4"/>
    <x v="0"/>
    <x v="2"/>
    <x v="242"/>
    <n v="3"/>
    <n v="350"/>
    <n v="616350"/>
    <n v="43144.5"/>
    <n v="573205.5"/>
    <n v="457860"/>
    <n v="115345.5"/>
    <x v="3"/>
    <n v="3"/>
    <x v="3"/>
    <x v="0"/>
  </r>
  <r>
    <x v="4"/>
    <x v="2"/>
    <x v="0"/>
    <x v="2"/>
    <x v="243"/>
    <n v="3"/>
    <n v="300"/>
    <n v="134400"/>
    <n v="9408"/>
    <n v="124992"/>
    <n v="112000"/>
    <n v="12992"/>
    <x v="1"/>
    <n v="6"/>
    <x v="1"/>
    <x v="0"/>
  </r>
  <r>
    <x v="4"/>
    <x v="2"/>
    <x v="0"/>
    <x v="2"/>
    <x v="244"/>
    <n v="3"/>
    <n v="300"/>
    <n v="654300"/>
    <n v="45801"/>
    <n v="608499"/>
    <n v="545250"/>
    <n v="63249"/>
    <x v="10"/>
    <n v="10"/>
    <x v="7"/>
    <x v="0"/>
  </r>
  <r>
    <x v="0"/>
    <x v="2"/>
    <x v="1"/>
    <x v="2"/>
    <x v="245"/>
    <n v="5"/>
    <n v="20"/>
    <n v="39520"/>
    <n v="2766.4"/>
    <n v="36753.599999999999"/>
    <n v="19760"/>
    <n v="16993.599999999999"/>
    <x v="10"/>
    <n v="10"/>
    <x v="7"/>
    <x v="0"/>
  </r>
  <r>
    <x v="4"/>
    <x v="2"/>
    <x v="1"/>
    <x v="2"/>
    <x v="244"/>
    <n v="5"/>
    <n v="300"/>
    <n v="654300"/>
    <n v="45801"/>
    <n v="608499"/>
    <n v="545250"/>
    <n v="63249"/>
    <x v="10"/>
    <n v="10"/>
    <x v="7"/>
    <x v="0"/>
  </r>
  <r>
    <x v="3"/>
    <x v="1"/>
    <x v="1"/>
    <x v="2"/>
    <x v="246"/>
    <n v="5"/>
    <n v="125"/>
    <n v="312500"/>
    <n v="21875"/>
    <n v="290625"/>
    <n v="300000"/>
    <n v="-9375"/>
    <x v="11"/>
    <n v="11"/>
    <x v="9"/>
    <x v="1"/>
  </r>
  <r>
    <x v="4"/>
    <x v="0"/>
    <x v="2"/>
    <x v="2"/>
    <x v="247"/>
    <n v="10"/>
    <n v="300"/>
    <n v="510600"/>
    <n v="35742"/>
    <n v="474858"/>
    <n v="425500"/>
    <n v="49358"/>
    <x v="14"/>
    <n v="5"/>
    <x v="11"/>
    <x v="0"/>
  </r>
  <r>
    <x v="4"/>
    <x v="2"/>
    <x v="2"/>
    <x v="2"/>
    <x v="243"/>
    <n v="10"/>
    <n v="300"/>
    <n v="134400"/>
    <n v="9408"/>
    <n v="124992"/>
    <n v="112000"/>
    <n v="12992"/>
    <x v="1"/>
    <n v="6"/>
    <x v="1"/>
    <x v="0"/>
  </r>
  <r>
    <x v="3"/>
    <x v="1"/>
    <x v="2"/>
    <x v="2"/>
    <x v="248"/>
    <n v="10"/>
    <n v="125"/>
    <n v="439125"/>
    <n v="30738.75"/>
    <n v="408386.25"/>
    <n v="421560"/>
    <n v="-13173.75"/>
    <x v="4"/>
    <n v="7"/>
    <x v="4"/>
    <x v="0"/>
  </r>
  <r>
    <x v="1"/>
    <x v="2"/>
    <x v="2"/>
    <x v="2"/>
    <x v="249"/>
    <n v="10"/>
    <n v="15"/>
    <n v="31515"/>
    <n v="2206.0500000000002"/>
    <n v="29308.95"/>
    <n v="21010"/>
    <n v="8298.9500000000007"/>
    <x v="5"/>
    <n v="8"/>
    <x v="5"/>
    <x v="0"/>
  </r>
  <r>
    <x v="1"/>
    <x v="4"/>
    <x v="2"/>
    <x v="2"/>
    <x v="250"/>
    <n v="10"/>
    <n v="15"/>
    <n v="43965"/>
    <n v="3077.55"/>
    <n v="40887.449999999997"/>
    <n v="29310"/>
    <n v="11577.449999999997"/>
    <x v="9"/>
    <n v="9"/>
    <x v="6"/>
    <x v="1"/>
  </r>
  <r>
    <x v="0"/>
    <x v="2"/>
    <x v="2"/>
    <x v="2"/>
    <x v="251"/>
    <n v="10"/>
    <n v="20"/>
    <n v="30700"/>
    <n v="2149"/>
    <n v="28551"/>
    <n v="15350"/>
    <n v="13201"/>
    <x v="6"/>
    <n v="9"/>
    <x v="6"/>
    <x v="0"/>
  </r>
  <r>
    <x v="4"/>
    <x v="1"/>
    <x v="2"/>
    <x v="2"/>
    <x v="167"/>
    <n v="10"/>
    <n v="300"/>
    <n v="336900"/>
    <n v="23583"/>
    <n v="313317"/>
    <n v="280750"/>
    <n v="32567"/>
    <x v="9"/>
    <n v="9"/>
    <x v="6"/>
    <x v="1"/>
  </r>
  <r>
    <x v="4"/>
    <x v="0"/>
    <x v="2"/>
    <x v="2"/>
    <x v="252"/>
    <n v="10"/>
    <n v="300"/>
    <n v="421200"/>
    <n v="29484"/>
    <n v="391716"/>
    <n v="351000"/>
    <n v="40716"/>
    <x v="11"/>
    <n v="11"/>
    <x v="9"/>
    <x v="1"/>
  </r>
  <r>
    <x v="2"/>
    <x v="3"/>
    <x v="2"/>
    <x v="2"/>
    <x v="253"/>
    <n v="10"/>
    <n v="12"/>
    <n v="33156"/>
    <n v="2320.92"/>
    <n v="30835.08"/>
    <n v="8289"/>
    <n v="22546.080000000002"/>
    <x v="11"/>
    <n v="11"/>
    <x v="9"/>
    <x v="1"/>
  </r>
  <r>
    <x v="0"/>
    <x v="1"/>
    <x v="2"/>
    <x v="2"/>
    <x v="254"/>
    <n v="10"/>
    <n v="7"/>
    <n v="14875"/>
    <n v="1041.25"/>
    <n v="13833.75"/>
    <n v="10625"/>
    <n v="3208.75"/>
    <x v="12"/>
    <n v="12"/>
    <x v="2"/>
    <x v="1"/>
  </r>
  <r>
    <x v="4"/>
    <x v="2"/>
    <x v="3"/>
    <x v="2"/>
    <x v="255"/>
    <n v="120"/>
    <n v="300"/>
    <n v="497700"/>
    <n v="34839"/>
    <n v="462861"/>
    <n v="414750"/>
    <n v="48111"/>
    <x v="4"/>
    <n v="7"/>
    <x v="4"/>
    <x v="0"/>
  </r>
  <r>
    <x v="0"/>
    <x v="3"/>
    <x v="3"/>
    <x v="2"/>
    <x v="256"/>
    <n v="120"/>
    <n v="20"/>
    <n v="12180"/>
    <n v="852.6"/>
    <n v="11327.4"/>
    <n v="6090"/>
    <n v="5237.3999999999996"/>
    <x v="5"/>
    <n v="8"/>
    <x v="5"/>
    <x v="0"/>
  </r>
  <r>
    <x v="3"/>
    <x v="1"/>
    <x v="3"/>
    <x v="2"/>
    <x v="257"/>
    <n v="120"/>
    <n v="125"/>
    <n v="260875"/>
    <n v="18261.25"/>
    <n v="242613.75"/>
    <n v="250440"/>
    <n v="-7826.25"/>
    <x v="6"/>
    <n v="9"/>
    <x v="6"/>
    <x v="0"/>
  </r>
  <r>
    <x v="0"/>
    <x v="2"/>
    <x v="3"/>
    <x v="2"/>
    <x v="245"/>
    <n v="120"/>
    <n v="20"/>
    <n v="39520"/>
    <n v="2766.4"/>
    <n v="36753.599999999999"/>
    <n v="19760"/>
    <n v="16993.599999999999"/>
    <x v="10"/>
    <n v="10"/>
    <x v="7"/>
    <x v="0"/>
  </r>
  <r>
    <x v="0"/>
    <x v="4"/>
    <x v="3"/>
    <x v="2"/>
    <x v="258"/>
    <n v="120"/>
    <n v="20"/>
    <n v="28420"/>
    <n v="1989.4"/>
    <n v="26430.6"/>
    <n v="14210"/>
    <n v="12220.599999999999"/>
    <x v="12"/>
    <n v="12"/>
    <x v="2"/>
    <x v="1"/>
  </r>
  <r>
    <x v="4"/>
    <x v="4"/>
    <x v="3"/>
    <x v="2"/>
    <x v="162"/>
    <n v="120"/>
    <n v="300"/>
    <n v="411600"/>
    <n v="28812"/>
    <n v="382788"/>
    <n v="343000"/>
    <n v="39788"/>
    <x v="2"/>
    <n v="12"/>
    <x v="2"/>
    <x v="0"/>
  </r>
  <r>
    <x v="0"/>
    <x v="1"/>
    <x v="3"/>
    <x v="2"/>
    <x v="259"/>
    <n v="120"/>
    <n v="20"/>
    <n v="11760"/>
    <n v="823.2"/>
    <n v="10936.8"/>
    <n v="5880"/>
    <n v="5056.7999999999993"/>
    <x v="12"/>
    <n v="12"/>
    <x v="2"/>
    <x v="1"/>
  </r>
  <r>
    <x v="2"/>
    <x v="0"/>
    <x v="4"/>
    <x v="2"/>
    <x v="260"/>
    <n v="250"/>
    <n v="12"/>
    <n v="38934"/>
    <n v="2725.38"/>
    <n v="36208.620000000003"/>
    <n v="9733.5"/>
    <n v="26475.120000000003"/>
    <x v="0"/>
    <n v="1"/>
    <x v="0"/>
    <x v="0"/>
  </r>
  <r>
    <x v="4"/>
    <x v="2"/>
    <x v="4"/>
    <x v="2"/>
    <x v="261"/>
    <n v="250"/>
    <n v="300"/>
    <n v="287700"/>
    <n v="20139"/>
    <n v="267561"/>
    <n v="239750"/>
    <n v="27811"/>
    <x v="8"/>
    <n v="2"/>
    <x v="8"/>
    <x v="0"/>
  </r>
  <r>
    <x v="4"/>
    <x v="3"/>
    <x v="4"/>
    <x v="2"/>
    <x v="262"/>
    <n v="250"/>
    <n v="300"/>
    <n v="824100"/>
    <n v="57687"/>
    <n v="766413"/>
    <n v="686750"/>
    <n v="79663"/>
    <x v="8"/>
    <n v="2"/>
    <x v="8"/>
    <x v="0"/>
  </r>
  <r>
    <x v="3"/>
    <x v="0"/>
    <x v="5"/>
    <x v="2"/>
    <x v="263"/>
    <n v="260"/>
    <n v="125"/>
    <n v="205625"/>
    <n v="14393.75"/>
    <n v="191231.25"/>
    <n v="197400"/>
    <n v="-6168.75"/>
    <x v="14"/>
    <n v="5"/>
    <x v="11"/>
    <x v="0"/>
  </r>
  <r>
    <x v="0"/>
    <x v="2"/>
    <x v="5"/>
    <x v="2"/>
    <x v="264"/>
    <n v="260"/>
    <n v="350"/>
    <n v="1006600"/>
    <n v="70462"/>
    <n v="936138"/>
    <n v="747760"/>
    <n v="188378"/>
    <x v="6"/>
    <n v="9"/>
    <x v="6"/>
    <x v="0"/>
  </r>
  <r>
    <x v="3"/>
    <x v="1"/>
    <x v="5"/>
    <x v="2"/>
    <x v="265"/>
    <n v="260"/>
    <n v="125"/>
    <n v="124250"/>
    <n v="8697.5"/>
    <n v="115552.5"/>
    <n v="119280"/>
    <n v="-3727.5"/>
    <x v="9"/>
    <n v="9"/>
    <x v="6"/>
    <x v="1"/>
  </r>
  <r>
    <x v="0"/>
    <x v="0"/>
    <x v="5"/>
    <x v="2"/>
    <x v="266"/>
    <n v="260"/>
    <n v="20"/>
    <n v="22360"/>
    <n v="1565.2"/>
    <n v="20794.8"/>
    <n v="11180"/>
    <n v="9614.7999999999993"/>
    <x v="15"/>
    <n v="11"/>
    <x v="9"/>
    <x v="0"/>
  </r>
  <r>
    <x v="4"/>
    <x v="4"/>
    <x v="5"/>
    <x v="2"/>
    <x v="162"/>
    <n v="260"/>
    <n v="300"/>
    <n v="411600"/>
    <n v="28812"/>
    <n v="382788"/>
    <n v="343000"/>
    <n v="39788"/>
    <x v="2"/>
    <n v="12"/>
    <x v="2"/>
    <x v="0"/>
  </r>
  <r>
    <x v="0"/>
    <x v="0"/>
    <x v="1"/>
    <x v="2"/>
    <x v="267"/>
    <n v="5"/>
    <n v="7"/>
    <n v="3416"/>
    <n v="273.27999999999997"/>
    <n v="3142.7200000000003"/>
    <n v="2440"/>
    <n v="702.72000000000025"/>
    <x v="8"/>
    <n v="2"/>
    <x v="8"/>
    <x v="0"/>
  </r>
  <r>
    <x v="0"/>
    <x v="4"/>
    <x v="1"/>
    <x v="2"/>
    <x v="268"/>
    <n v="5"/>
    <n v="20"/>
    <n v="25640"/>
    <n v="2051.1999999999998"/>
    <n v="23588.799999999999"/>
    <n v="12820"/>
    <n v="10768.8"/>
    <x v="1"/>
    <n v="6"/>
    <x v="1"/>
    <x v="0"/>
  </r>
  <r>
    <x v="0"/>
    <x v="0"/>
    <x v="2"/>
    <x v="2"/>
    <x v="269"/>
    <n v="10"/>
    <n v="7"/>
    <n v="1799"/>
    <n v="143.91999999999999"/>
    <n v="1655.08"/>
    <n v="1285"/>
    <n v="370.07999999999993"/>
    <x v="14"/>
    <n v="5"/>
    <x v="11"/>
    <x v="0"/>
  </r>
  <r>
    <x v="0"/>
    <x v="4"/>
    <x v="5"/>
    <x v="2"/>
    <x v="268"/>
    <n v="260"/>
    <n v="20"/>
    <n v="25640"/>
    <n v="2051.1999999999998"/>
    <n v="23588.799999999999"/>
    <n v="12820"/>
    <n v="10768.8"/>
    <x v="1"/>
    <n v="6"/>
    <x v="1"/>
    <x v="0"/>
  </r>
  <r>
    <x v="3"/>
    <x v="3"/>
    <x v="0"/>
    <x v="2"/>
    <x v="270"/>
    <n v="3"/>
    <n v="125"/>
    <n v="192500"/>
    <n v="15400"/>
    <n v="177100"/>
    <n v="184800"/>
    <n v="-7700"/>
    <x v="5"/>
    <n v="8"/>
    <x v="5"/>
    <x v="0"/>
  </r>
  <r>
    <x v="1"/>
    <x v="2"/>
    <x v="0"/>
    <x v="2"/>
    <x v="271"/>
    <n v="3"/>
    <n v="15"/>
    <n v="7350"/>
    <n v="588"/>
    <n v="6762"/>
    <n v="4900"/>
    <n v="1862"/>
    <x v="15"/>
    <n v="11"/>
    <x v="9"/>
    <x v="0"/>
  </r>
  <r>
    <x v="0"/>
    <x v="3"/>
    <x v="0"/>
    <x v="2"/>
    <x v="272"/>
    <n v="3"/>
    <n v="350"/>
    <n v="476700"/>
    <n v="38136"/>
    <n v="438564"/>
    <n v="354120"/>
    <n v="84444"/>
    <x v="2"/>
    <n v="12"/>
    <x v="2"/>
    <x v="0"/>
  </r>
  <r>
    <x v="1"/>
    <x v="2"/>
    <x v="1"/>
    <x v="2"/>
    <x v="273"/>
    <n v="5"/>
    <n v="15"/>
    <n v="37515"/>
    <n v="3001.2"/>
    <n v="34513.800000000003"/>
    <n v="25010"/>
    <n v="9503.8000000000029"/>
    <x v="3"/>
    <n v="3"/>
    <x v="3"/>
    <x v="0"/>
  </r>
  <r>
    <x v="0"/>
    <x v="0"/>
    <x v="1"/>
    <x v="2"/>
    <x v="274"/>
    <n v="5"/>
    <n v="20"/>
    <n v="14160"/>
    <n v="1132.8"/>
    <n v="13027.2"/>
    <n v="7080"/>
    <n v="5947.2000000000007"/>
    <x v="1"/>
    <n v="6"/>
    <x v="1"/>
    <x v="0"/>
  </r>
  <r>
    <x v="0"/>
    <x v="1"/>
    <x v="1"/>
    <x v="2"/>
    <x v="275"/>
    <n v="5"/>
    <n v="20"/>
    <n v="12900"/>
    <n v="1032"/>
    <n v="11868"/>
    <n v="6450"/>
    <n v="5418"/>
    <x v="4"/>
    <n v="7"/>
    <x v="4"/>
    <x v="0"/>
  </r>
  <r>
    <x v="4"/>
    <x v="2"/>
    <x v="1"/>
    <x v="2"/>
    <x v="276"/>
    <n v="5"/>
    <n v="300"/>
    <n v="468600"/>
    <n v="37488"/>
    <n v="431112"/>
    <n v="390500"/>
    <n v="40612"/>
    <x v="5"/>
    <n v="8"/>
    <x v="5"/>
    <x v="0"/>
  </r>
  <r>
    <x v="4"/>
    <x v="0"/>
    <x v="1"/>
    <x v="2"/>
    <x v="277"/>
    <n v="5"/>
    <n v="300"/>
    <n v="384900"/>
    <n v="30792"/>
    <n v="354108"/>
    <n v="320750"/>
    <n v="33358"/>
    <x v="9"/>
    <n v="9"/>
    <x v="6"/>
    <x v="1"/>
  </r>
  <r>
    <x v="1"/>
    <x v="1"/>
    <x v="1"/>
    <x v="2"/>
    <x v="278"/>
    <n v="5"/>
    <n v="15"/>
    <n v="10665"/>
    <n v="853.2"/>
    <n v="9811.7999999999993"/>
    <n v="7110"/>
    <n v="2701.7999999999993"/>
    <x v="2"/>
    <n v="12"/>
    <x v="2"/>
    <x v="0"/>
  </r>
  <r>
    <x v="3"/>
    <x v="3"/>
    <x v="2"/>
    <x v="2"/>
    <x v="279"/>
    <n v="10"/>
    <n v="125"/>
    <n v="139250"/>
    <n v="11140"/>
    <n v="128110"/>
    <n v="133680"/>
    <n v="-5570"/>
    <x v="3"/>
    <n v="3"/>
    <x v="3"/>
    <x v="0"/>
  </r>
  <r>
    <x v="0"/>
    <x v="1"/>
    <x v="2"/>
    <x v="2"/>
    <x v="280"/>
    <n v="10"/>
    <n v="7"/>
    <n v="8813"/>
    <n v="705.04"/>
    <n v="8107.96"/>
    <n v="6295"/>
    <n v="1812.96"/>
    <x v="13"/>
    <n v="4"/>
    <x v="10"/>
    <x v="0"/>
  </r>
  <r>
    <x v="0"/>
    <x v="1"/>
    <x v="2"/>
    <x v="2"/>
    <x v="281"/>
    <n v="10"/>
    <n v="7"/>
    <n v="7665"/>
    <n v="613.20000000000005"/>
    <n v="7051.8"/>
    <n v="5475"/>
    <n v="1576.8000000000002"/>
    <x v="14"/>
    <n v="5"/>
    <x v="11"/>
    <x v="0"/>
  </r>
  <r>
    <x v="0"/>
    <x v="1"/>
    <x v="2"/>
    <x v="2"/>
    <x v="282"/>
    <n v="10"/>
    <n v="20"/>
    <n v="27320"/>
    <n v="2185.6"/>
    <n v="25134.400000000001"/>
    <n v="13660"/>
    <n v="11474.400000000001"/>
    <x v="1"/>
    <n v="6"/>
    <x v="1"/>
    <x v="0"/>
  </r>
  <r>
    <x v="4"/>
    <x v="3"/>
    <x v="2"/>
    <x v="2"/>
    <x v="283"/>
    <n v="10"/>
    <n v="300"/>
    <n v="738000"/>
    <n v="59040"/>
    <n v="678960"/>
    <n v="615000"/>
    <n v="63960"/>
    <x v="1"/>
    <n v="6"/>
    <x v="1"/>
    <x v="0"/>
  </r>
  <r>
    <x v="0"/>
    <x v="4"/>
    <x v="2"/>
    <x v="2"/>
    <x v="284"/>
    <n v="10"/>
    <n v="7"/>
    <n v="4746"/>
    <n v="379.68"/>
    <n v="4366.32"/>
    <n v="3390"/>
    <n v="976.31999999999971"/>
    <x v="5"/>
    <n v="8"/>
    <x v="5"/>
    <x v="0"/>
  </r>
  <r>
    <x v="0"/>
    <x v="1"/>
    <x v="2"/>
    <x v="2"/>
    <x v="285"/>
    <n v="10"/>
    <n v="7"/>
    <n v="11186"/>
    <n v="894.88"/>
    <n v="10291.120000000001"/>
    <n v="7990"/>
    <n v="2301.1200000000008"/>
    <x v="5"/>
    <n v="8"/>
    <x v="5"/>
    <x v="0"/>
  </r>
  <r>
    <x v="0"/>
    <x v="1"/>
    <x v="2"/>
    <x v="2"/>
    <x v="286"/>
    <n v="10"/>
    <n v="7"/>
    <n v="16863"/>
    <n v="1349.04"/>
    <n v="15513.96"/>
    <n v="12045"/>
    <n v="3468.9599999999991"/>
    <x v="9"/>
    <n v="9"/>
    <x v="6"/>
    <x v="1"/>
  </r>
  <r>
    <x v="0"/>
    <x v="1"/>
    <x v="2"/>
    <x v="2"/>
    <x v="287"/>
    <n v="10"/>
    <n v="20"/>
    <n v="38680"/>
    <n v="3094.4"/>
    <n v="35585.599999999999"/>
    <n v="19340"/>
    <n v="16245.599999999999"/>
    <x v="6"/>
    <n v="9"/>
    <x v="6"/>
    <x v="0"/>
  </r>
  <r>
    <x v="0"/>
    <x v="3"/>
    <x v="2"/>
    <x v="2"/>
    <x v="288"/>
    <n v="10"/>
    <n v="20"/>
    <n v="59860"/>
    <n v="4788.8"/>
    <n v="55071.199999999997"/>
    <n v="29930"/>
    <n v="25141.199999999997"/>
    <x v="6"/>
    <n v="9"/>
    <x v="6"/>
    <x v="0"/>
  </r>
  <r>
    <x v="0"/>
    <x v="1"/>
    <x v="2"/>
    <x v="2"/>
    <x v="12"/>
    <n v="10"/>
    <n v="350"/>
    <n v="751100"/>
    <n v="60088"/>
    <n v="691012"/>
    <n v="557960"/>
    <n v="133052"/>
    <x v="11"/>
    <n v="11"/>
    <x v="9"/>
    <x v="1"/>
  </r>
  <r>
    <x v="0"/>
    <x v="3"/>
    <x v="2"/>
    <x v="2"/>
    <x v="289"/>
    <n v="10"/>
    <n v="7"/>
    <n v="13622"/>
    <n v="1089.76"/>
    <n v="12532.24"/>
    <n v="9730"/>
    <n v="2802.24"/>
    <x v="12"/>
    <n v="12"/>
    <x v="2"/>
    <x v="1"/>
  </r>
  <r>
    <x v="0"/>
    <x v="3"/>
    <x v="2"/>
    <x v="2"/>
    <x v="272"/>
    <n v="10"/>
    <n v="350"/>
    <n v="476700"/>
    <n v="38136"/>
    <n v="438564"/>
    <n v="354120"/>
    <n v="84444"/>
    <x v="2"/>
    <n v="12"/>
    <x v="2"/>
    <x v="0"/>
  </r>
  <r>
    <x v="2"/>
    <x v="0"/>
    <x v="3"/>
    <x v="2"/>
    <x v="290"/>
    <n v="120"/>
    <n v="12"/>
    <n v="7176"/>
    <n v="574.08000000000004"/>
    <n v="6601.92"/>
    <n v="1794"/>
    <n v="4807.92"/>
    <x v="3"/>
    <n v="3"/>
    <x v="3"/>
    <x v="0"/>
  </r>
  <r>
    <x v="0"/>
    <x v="4"/>
    <x v="3"/>
    <x v="2"/>
    <x v="291"/>
    <n v="120"/>
    <n v="7"/>
    <n v="20349"/>
    <n v="1627.92"/>
    <n v="18721.080000000002"/>
    <n v="14535"/>
    <n v="4186.0800000000017"/>
    <x v="1"/>
    <n v="6"/>
    <x v="1"/>
    <x v="0"/>
  </r>
  <r>
    <x v="0"/>
    <x v="1"/>
    <x v="3"/>
    <x v="2"/>
    <x v="292"/>
    <n v="120"/>
    <n v="7"/>
    <n v="16366"/>
    <n v="1309.28"/>
    <n v="15056.72"/>
    <n v="11690"/>
    <n v="3366.7199999999993"/>
    <x v="1"/>
    <n v="6"/>
    <x v="1"/>
    <x v="0"/>
  </r>
  <r>
    <x v="4"/>
    <x v="2"/>
    <x v="3"/>
    <x v="2"/>
    <x v="293"/>
    <n v="120"/>
    <n v="300"/>
    <n v="115800"/>
    <n v="9264"/>
    <n v="106536"/>
    <n v="96500"/>
    <n v="10036"/>
    <x v="11"/>
    <n v="11"/>
    <x v="9"/>
    <x v="1"/>
  </r>
  <r>
    <x v="4"/>
    <x v="3"/>
    <x v="3"/>
    <x v="2"/>
    <x v="294"/>
    <n v="120"/>
    <n v="300"/>
    <n v="190500"/>
    <n v="15240"/>
    <n v="175260"/>
    <n v="158750"/>
    <n v="16510"/>
    <x v="2"/>
    <n v="12"/>
    <x v="2"/>
    <x v="0"/>
  </r>
  <r>
    <x v="0"/>
    <x v="2"/>
    <x v="4"/>
    <x v="2"/>
    <x v="295"/>
    <n v="250"/>
    <n v="350"/>
    <n v="201075"/>
    <n v="16086"/>
    <n v="184989"/>
    <n v="149370"/>
    <n v="35619"/>
    <x v="13"/>
    <n v="4"/>
    <x v="10"/>
    <x v="0"/>
  </r>
  <r>
    <x v="0"/>
    <x v="1"/>
    <x v="4"/>
    <x v="2"/>
    <x v="292"/>
    <n v="250"/>
    <n v="7"/>
    <n v="16366"/>
    <n v="1309.28"/>
    <n v="15056.72"/>
    <n v="11690"/>
    <n v="3366.7199999999993"/>
    <x v="1"/>
    <n v="6"/>
    <x v="1"/>
    <x v="0"/>
  </r>
  <r>
    <x v="0"/>
    <x v="2"/>
    <x v="4"/>
    <x v="2"/>
    <x v="296"/>
    <n v="250"/>
    <n v="350"/>
    <n v="133350"/>
    <n v="10668"/>
    <n v="122682"/>
    <n v="99060"/>
    <n v="23622"/>
    <x v="5"/>
    <n v="8"/>
    <x v="5"/>
    <x v="0"/>
  </r>
  <r>
    <x v="0"/>
    <x v="1"/>
    <x v="4"/>
    <x v="2"/>
    <x v="297"/>
    <n v="250"/>
    <n v="350"/>
    <n v="147700"/>
    <n v="11816"/>
    <n v="135884"/>
    <n v="109720"/>
    <n v="26164"/>
    <x v="5"/>
    <n v="8"/>
    <x v="5"/>
    <x v="0"/>
  </r>
  <r>
    <x v="4"/>
    <x v="0"/>
    <x v="4"/>
    <x v="2"/>
    <x v="298"/>
    <n v="250"/>
    <n v="300"/>
    <n v="640200"/>
    <n v="51216"/>
    <n v="588984"/>
    <n v="533500"/>
    <n v="55484"/>
    <x v="6"/>
    <n v="9"/>
    <x v="6"/>
    <x v="0"/>
  </r>
  <r>
    <x v="4"/>
    <x v="4"/>
    <x v="4"/>
    <x v="2"/>
    <x v="299"/>
    <n v="250"/>
    <n v="300"/>
    <n v="242400"/>
    <n v="19392"/>
    <n v="223008"/>
    <n v="202000"/>
    <n v="21008"/>
    <x v="12"/>
    <n v="12"/>
    <x v="2"/>
    <x v="1"/>
  </r>
  <r>
    <x v="0"/>
    <x v="0"/>
    <x v="5"/>
    <x v="2"/>
    <x v="274"/>
    <n v="260"/>
    <n v="20"/>
    <n v="14160"/>
    <n v="1132.8"/>
    <n v="13027.2"/>
    <n v="7080"/>
    <n v="5947.2000000000007"/>
    <x v="1"/>
    <n v="6"/>
    <x v="1"/>
    <x v="0"/>
  </r>
  <r>
    <x v="0"/>
    <x v="4"/>
    <x v="5"/>
    <x v="2"/>
    <x v="291"/>
    <n v="260"/>
    <n v="7"/>
    <n v="20349"/>
    <n v="1627.92"/>
    <n v="18721.080000000002"/>
    <n v="14535"/>
    <n v="4186.0800000000017"/>
    <x v="1"/>
    <n v="6"/>
    <x v="1"/>
    <x v="0"/>
  </r>
  <r>
    <x v="0"/>
    <x v="1"/>
    <x v="5"/>
    <x v="2"/>
    <x v="282"/>
    <n v="260"/>
    <n v="20"/>
    <n v="27320"/>
    <n v="2185.6"/>
    <n v="25134.400000000001"/>
    <n v="13660"/>
    <n v="11474.400000000001"/>
    <x v="1"/>
    <n v="6"/>
    <x v="1"/>
    <x v="0"/>
  </r>
  <r>
    <x v="4"/>
    <x v="3"/>
    <x v="5"/>
    <x v="2"/>
    <x v="283"/>
    <n v="260"/>
    <n v="300"/>
    <n v="738000"/>
    <n v="59040"/>
    <n v="678960"/>
    <n v="615000"/>
    <n v="63960"/>
    <x v="1"/>
    <n v="6"/>
    <x v="1"/>
    <x v="0"/>
  </r>
  <r>
    <x v="0"/>
    <x v="1"/>
    <x v="5"/>
    <x v="2"/>
    <x v="300"/>
    <n v="260"/>
    <n v="20"/>
    <n v="30400"/>
    <n v="2432"/>
    <n v="27968"/>
    <n v="15200"/>
    <n v="12768"/>
    <x v="15"/>
    <n v="11"/>
    <x v="9"/>
    <x v="0"/>
  </r>
  <r>
    <x v="1"/>
    <x v="1"/>
    <x v="5"/>
    <x v="2"/>
    <x v="278"/>
    <n v="260"/>
    <n v="15"/>
    <n v="10665"/>
    <n v="853.2"/>
    <n v="9811.7999999999993"/>
    <n v="7110"/>
    <n v="2701.7999999999993"/>
    <x v="2"/>
    <n v="12"/>
    <x v="2"/>
    <x v="0"/>
  </r>
  <r>
    <x v="2"/>
    <x v="3"/>
    <x v="5"/>
    <x v="2"/>
    <x v="301"/>
    <n v="260"/>
    <n v="12"/>
    <n v="16500"/>
    <n v="1320"/>
    <n v="15180"/>
    <n v="4125"/>
    <n v="11055"/>
    <x v="12"/>
    <n v="12"/>
    <x v="2"/>
    <x v="1"/>
  </r>
  <r>
    <x v="4"/>
    <x v="3"/>
    <x v="5"/>
    <x v="2"/>
    <x v="294"/>
    <n v="260"/>
    <n v="300"/>
    <n v="190500"/>
    <n v="15240"/>
    <n v="175260"/>
    <n v="158750"/>
    <n v="16510"/>
    <x v="2"/>
    <n v="12"/>
    <x v="2"/>
    <x v="0"/>
  </r>
  <r>
    <x v="0"/>
    <x v="4"/>
    <x v="4"/>
    <x v="2"/>
    <x v="302"/>
    <n v="250"/>
    <n v="20"/>
    <n v="8730"/>
    <n v="698.40000000000009"/>
    <n v="8031.5999999999995"/>
    <n v="4365"/>
    <n v="3666.5999999999995"/>
    <x v="4"/>
    <n v="7"/>
    <x v="4"/>
    <x v="0"/>
  </r>
  <r>
    <x v="4"/>
    <x v="0"/>
    <x v="0"/>
    <x v="2"/>
    <x v="303"/>
    <n v="3"/>
    <n v="300"/>
    <n v="328200"/>
    <n v="29538"/>
    <n v="298662"/>
    <n v="273500"/>
    <n v="25162"/>
    <x v="1"/>
    <n v="6"/>
    <x v="1"/>
    <x v="0"/>
  </r>
  <r>
    <x v="2"/>
    <x v="3"/>
    <x v="0"/>
    <x v="2"/>
    <x v="18"/>
    <n v="3"/>
    <n v="12"/>
    <n v="4404"/>
    <n v="396.36"/>
    <n v="4007.64"/>
    <n v="1101"/>
    <n v="2906.64"/>
    <x v="7"/>
    <n v="10"/>
    <x v="7"/>
    <x v="1"/>
  </r>
  <r>
    <x v="4"/>
    <x v="0"/>
    <x v="1"/>
    <x v="2"/>
    <x v="304"/>
    <n v="5"/>
    <n v="300"/>
    <n v="1140750"/>
    <n v="102667.5"/>
    <n v="1038082.5"/>
    <n v="950625"/>
    <n v="87457.5"/>
    <x v="13"/>
    <n v="4"/>
    <x v="10"/>
    <x v="0"/>
  </r>
  <r>
    <x v="0"/>
    <x v="2"/>
    <x v="1"/>
    <x v="2"/>
    <x v="305"/>
    <n v="5"/>
    <n v="350"/>
    <n v="583100"/>
    <n v="52479"/>
    <n v="530621"/>
    <n v="433160"/>
    <n v="97461"/>
    <x v="14"/>
    <n v="5"/>
    <x v="11"/>
    <x v="0"/>
  </r>
  <r>
    <x v="4"/>
    <x v="2"/>
    <x v="1"/>
    <x v="2"/>
    <x v="306"/>
    <n v="5"/>
    <n v="300"/>
    <n v="96600"/>
    <n v="8694"/>
    <n v="87906"/>
    <n v="80500"/>
    <n v="7406"/>
    <x v="9"/>
    <n v="9"/>
    <x v="6"/>
    <x v="1"/>
  </r>
  <r>
    <x v="2"/>
    <x v="0"/>
    <x v="1"/>
    <x v="2"/>
    <x v="307"/>
    <n v="5"/>
    <n v="12"/>
    <n v="27852"/>
    <n v="2506.6799999999998"/>
    <n v="25345.32"/>
    <n v="6963"/>
    <n v="18382.32"/>
    <x v="15"/>
    <n v="11"/>
    <x v="9"/>
    <x v="0"/>
  </r>
  <r>
    <x v="3"/>
    <x v="2"/>
    <x v="1"/>
    <x v="2"/>
    <x v="308"/>
    <n v="5"/>
    <n v="125"/>
    <n v="232125"/>
    <n v="20891.25"/>
    <n v="211233.75"/>
    <n v="222840"/>
    <n v="-11606.25"/>
    <x v="11"/>
    <n v="11"/>
    <x v="9"/>
    <x v="1"/>
  </r>
  <r>
    <x v="0"/>
    <x v="0"/>
    <x v="1"/>
    <x v="2"/>
    <x v="309"/>
    <n v="5"/>
    <n v="7"/>
    <n v="11277"/>
    <n v="1014.93"/>
    <n v="10262.07"/>
    <n v="8055"/>
    <n v="2207.0699999999997"/>
    <x v="12"/>
    <n v="12"/>
    <x v="2"/>
    <x v="1"/>
  </r>
  <r>
    <x v="3"/>
    <x v="4"/>
    <x v="1"/>
    <x v="2"/>
    <x v="310"/>
    <n v="5"/>
    <n v="125"/>
    <n v="349625"/>
    <n v="31466.25"/>
    <n v="318158.75"/>
    <n v="335640"/>
    <n v="-17481.25"/>
    <x v="2"/>
    <n v="12"/>
    <x v="2"/>
    <x v="0"/>
  </r>
  <r>
    <x v="4"/>
    <x v="1"/>
    <x v="1"/>
    <x v="2"/>
    <x v="311"/>
    <n v="5"/>
    <n v="300"/>
    <n v="100200"/>
    <n v="9018"/>
    <n v="91182"/>
    <n v="83500"/>
    <n v="7682"/>
    <x v="12"/>
    <n v="12"/>
    <x v="2"/>
    <x v="1"/>
  </r>
  <r>
    <x v="4"/>
    <x v="3"/>
    <x v="2"/>
    <x v="2"/>
    <x v="312"/>
    <n v="10"/>
    <n v="300"/>
    <n v="769500"/>
    <n v="69255"/>
    <n v="700245"/>
    <n v="641250"/>
    <n v="58995"/>
    <x v="0"/>
    <n v="1"/>
    <x v="0"/>
    <x v="0"/>
  </r>
  <r>
    <x v="0"/>
    <x v="3"/>
    <x v="2"/>
    <x v="2"/>
    <x v="313"/>
    <n v="10"/>
    <n v="350"/>
    <n v="845950"/>
    <n v="76135.5"/>
    <n v="769814.5"/>
    <n v="628420"/>
    <n v="141394.5"/>
    <x v="0"/>
    <n v="1"/>
    <x v="0"/>
    <x v="0"/>
  </r>
  <r>
    <x v="1"/>
    <x v="4"/>
    <x v="2"/>
    <x v="2"/>
    <x v="314"/>
    <n v="10"/>
    <n v="15"/>
    <n v="55125"/>
    <n v="4961.25"/>
    <n v="50163.75"/>
    <n v="36750"/>
    <n v="13413.75"/>
    <x v="13"/>
    <n v="4"/>
    <x v="10"/>
    <x v="0"/>
  </r>
  <r>
    <x v="4"/>
    <x v="0"/>
    <x v="2"/>
    <x v="2"/>
    <x v="303"/>
    <n v="10"/>
    <n v="300"/>
    <n v="328200"/>
    <n v="29538"/>
    <n v="298662"/>
    <n v="273500"/>
    <n v="25162"/>
    <x v="1"/>
    <n v="6"/>
    <x v="1"/>
    <x v="0"/>
  </r>
  <r>
    <x v="1"/>
    <x v="2"/>
    <x v="2"/>
    <x v="2"/>
    <x v="315"/>
    <n v="10"/>
    <n v="15"/>
    <n v="18405"/>
    <n v="1656.45"/>
    <n v="16748.55"/>
    <n v="12270"/>
    <n v="4478.5499999999993"/>
    <x v="10"/>
    <n v="10"/>
    <x v="7"/>
    <x v="0"/>
  </r>
  <r>
    <x v="2"/>
    <x v="3"/>
    <x v="2"/>
    <x v="2"/>
    <x v="18"/>
    <n v="10"/>
    <n v="12"/>
    <n v="4404"/>
    <n v="396.36"/>
    <n v="4007.64"/>
    <n v="1101"/>
    <n v="2906.64"/>
    <x v="7"/>
    <n v="10"/>
    <x v="7"/>
    <x v="1"/>
  </r>
  <r>
    <x v="4"/>
    <x v="2"/>
    <x v="2"/>
    <x v="2"/>
    <x v="316"/>
    <n v="10"/>
    <n v="300"/>
    <n v="397200"/>
    <n v="35748"/>
    <n v="361452"/>
    <n v="331000"/>
    <n v="30452"/>
    <x v="15"/>
    <n v="11"/>
    <x v="9"/>
    <x v="0"/>
  </r>
  <r>
    <x v="2"/>
    <x v="1"/>
    <x v="2"/>
    <x v="2"/>
    <x v="317"/>
    <n v="10"/>
    <n v="12"/>
    <n v="21300"/>
    <n v="1917"/>
    <n v="19383"/>
    <n v="5325"/>
    <n v="14058"/>
    <x v="11"/>
    <n v="11"/>
    <x v="9"/>
    <x v="1"/>
  </r>
  <r>
    <x v="3"/>
    <x v="4"/>
    <x v="2"/>
    <x v="2"/>
    <x v="310"/>
    <n v="10"/>
    <n v="125"/>
    <n v="349625"/>
    <n v="31466.25"/>
    <n v="318158.75"/>
    <n v="335640"/>
    <n v="-17481.25"/>
    <x v="2"/>
    <n v="12"/>
    <x v="2"/>
    <x v="0"/>
  </r>
  <r>
    <x v="1"/>
    <x v="3"/>
    <x v="3"/>
    <x v="2"/>
    <x v="318"/>
    <n v="120"/>
    <n v="15"/>
    <n v="3675"/>
    <n v="330.75"/>
    <n v="3344.25"/>
    <n v="2450"/>
    <n v="894.25"/>
    <x v="14"/>
    <n v="5"/>
    <x v="11"/>
    <x v="0"/>
  </r>
  <r>
    <x v="4"/>
    <x v="0"/>
    <x v="3"/>
    <x v="2"/>
    <x v="319"/>
    <n v="120"/>
    <n v="300"/>
    <n v="1138050"/>
    <n v="102424.5"/>
    <n v="1035625.5"/>
    <n v="948375"/>
    <n v="87250.5"/>
    <x v="4"/>
    <n v="7"/>
    <x v="4"/>
    <x v="0"/>
  </r>
  <r>
    <x v="0"/>
    <x v="1"/>
    <x v="3"/>
    <x v="2"/>
    <x v="320"/>
    <n v="120"/>
    <n v="350"/>
    <n v="457450"/>
    <n v="41170.5"/>
    <n v="416279.5"/>
    <n v="339820"/>
    <n v="76459.5"/>
    <x v="4"/>
    <n v="7"/>
    <x v="4"/>
    <x v="0"/>
  </r>
  <r>
    <x v="3"/>
    <x v="0"/>
    <x v="3"/>
    <x v="2"/>
    <x v="321"/>
    <n v="120"/>
    <n v="125"/>
    <n v="70875"/>
    <n v="6378.75"/>
    <n v="64496.25"/>
    <n v="68040"/>
    <n v="-3543.75"/>
    <x v="6"/>
    <n v="9"/>
    <x v="6"/>
    <x v="0"/>
  </r>
  <r>
    <x v="3"/>
    <x v="3"/>
    <x v="3"/>
    <x v="2"/>
    <x v="322"/>
    <n v="120"/>
    <n v="125"/>
    <n v="263750"/>
    <n v="23737.5"/>
    <n v="240012.5"/>
    <n v="253200"/>
    <n v="-13187.5"/>
    <x v="6"/>
    <n v="9"/>
    <x v="6"/>
    <x v="0"/>
  </r>
  <r>
    <x v="0"/>
    <x v="0"/>
    <x v="3"/>
    <x v="2"/>
    <x v="323"/>
    <n v="120"/>
    <n v="350"/>
    <n v="444150"/>
    <n v="39973.5"/>
    <n v="404176.5"/>
    <n v="329940"/>
    <n v="74236.5"/>
    <x v="10"/>
    <n v="10"/>
    <x v="7"/>
    <x v="0"/>
  </r>
  <r>
    <x v="2"/>
    <x v="4"/>
    <x v="4"/>
    <x v="2"/>
    <x v="324"/>
    <n v="250"/>
    <n v="12"/>
    <n v="23472"/>
    <n v="2112.48"/>
    <n v="21359.52"/>
    <n v="5868"/>
    <n v="15491.52"/>
    <x v="0"/>
    <n v="1"/>
    <x v="0"/>
    <x v="0"/>
  </r>
  <r>
    <x v="4"/>
    <x v="1"/>
    <x v="4"/>
    <x v="2"/>
    <x v="325"/>
    <n v="250"/>
    <n v="300"/>
    <n v="797700"/>
    <n v="71793"/>
    <n v="725907"/>
    <n v="664750"/>
    <n v="61157"/>
    <x v="8"/>
    <n v="2"/>
    <x v="8"/>
    <x v="0"/>
  </r>
  <r>
    <x v="0"/>
    <x v="4"/>
    <x v="4"/>
    <x v="2"/>
    <x v="326"/>
    <n v="250"/>
    <n v="350"/>
    <n v="473025"/>
    <n v="42572.25"/>
    <n v="430452.75"/>
    <n v="351390"/>
    <n v="79062.75"/>
    <x v="13"/>
    <n v="4"/>
    <x v="10"/>
    <x v="0"/>
  </r>
  <r>
    <x v="2"/>
    <x v="1"/>
    <x v="4"/>
    <x v="2"/>
    <x v="327"/>
    <n v="250"/>
    <n v="12"/>
    <n v="10560"/>
    <n v="950.4"/>
    <n v="9609.6"/>
    <n v="2640"/>
    <n v="6969.6"/>
    <x v="14"/>
    <n v="5"/>
    <x v="11"/>
    <x v="0"/>
  </r>
  <r>
    <x v="4"/>
    <x v="4"/>
    <x v="4"/>
    <x v="2"/>
    <x v="328"/>
    <n v="250"/>
    <n v="300"/>
    <n v="560100"/>
    <n v="50409"/>
    <n v="509691"/>
    <n v="466750"/>
    <n v="42941"/>
    <x v="6"/>
    <n v="9"/>
    <x v="6"/>
    <x v="0"/>
  </r>
  <r>
    <x v="2"/>
    <x v="2"/>
    <x v="4"/>
    <x v="2"/>
    <x v="329"/>
    <n v="250"/>
    <n v="12"/>
    <n v="26808"/>
    <n v="2412.7199999999998"/>
    <n v="24395.279999999999"/>
    <n v="6702"/>
    <n v="17693.28"/>
    <x v="9"/>
    <n v="9"/>
    <x v="6"/>
    <x v="1"/>
  </r>
  <r>
    <x v="1"/>
    <x v="2"/>
    <x v="4"/>
    <x v="2"/>
    <x v="315"/>
    <n v="250"/>
    <n v="15"/>
    <n v="18405"/>
    <n v="1656.45"/>
    <n v="16748.55"/>
    <n v="12270"/>
    <n v="4478.5499999999993"/>
    <x v="10"/>
    <n v="10"/>
    <x v="7"/>
    <x v="0"/>
  </r>
  <r>
    <x v="3"/>
    <x v="3"/>
    <x v="4"/>
    <x v="2"/>
    <x v="330"/>
    <n v="250"/>
    <n v="125"/>
    <n v="109625"/>
    <n v="9866.25"/>
    <n v="99758.75"/>
    <n v="105240"/>
    <n v="-5481.25"/>
    <x v="15"/>
    <n v="11"/>
    <x v="9"/>
    <x v="0"/>
  </r>
  <r>
    <x v="0"/>
    <x v="4"/>
    <x v="5"/>
    <x v="2"/>
    <x v="331"/>
    <n v="260"/>
    <n v="350"/>
    <n v="724850"/>
    <n v="65236.5"/>
    <n v="659613.5"/>
    <n v="538460"/>
    <n v="121153.5"/>
    <x v="6"/>
    <n v="9"/>
    <x v="6"/>
    <x v="0"/>
  </r>
  <r>
    <x v="0"/>
    <x v="0"/>
    <x v="5"/>
    <x v="2"/>
    <x v="323"/>
    <n v="260"/>
    <n v="350"/>
    <n v="444150"/>
    <n v="39973.5"/>
    <n v="404176.5"/>
    <n v="329940"/>
    <n v="74236.5"/>
    <x v="10"/>
    <n v="10"/>
    <x v="7"/>
    <x v="0"/>
  </r>
  <r>
    <x v="1"/>
    <x v="1"/>
    <x v="5"/>
    <x v="2"/>
    <x v="332"/>
    <n v="260"/>
    <n v="15"/>
    <n v="14550"/>
    <n v="1309.5"/>
    <n v="13240.5"/>
    <n v="9700"/>
    <n v="3540.5"/>
    <x v="11"/>
    <n v="11"/>
    <x v="9"/>
    <x v="1"/>
  </r>
  <r>
    <x v="0"/>
    <x v="3"/>
    <x v="5"/>
    <x v="2"/>
    <x v="333"/>
    <n v="260"/>
    <n v="20"/>
    <n v="33880"/>
    <n v="3049.2"/>
    <n v="30830.799999999999"/>
    <n v="16940"/>
    <n v="13890.8"/>
    <x v="15"/>
    <n v="11"/>
    <x v="9"/>
    <x v="0"/>
  </r>
  <r>
    <x v="0"/>
    <x v="1"/>
    <x v="0"/>
    <x v="2"/>
    <x v="61"/>
    <n v="3"/>
    <n v="20"/>
    <n v="13260"/>
    <n v="1193.4000000000001"/>
    <n v="12066.6"/>
    <n v="6630"/>
    <n v="5436.6"/>
    <x v="14"/>
    <n v="5"/>
    <x v="11"/>
    <x v="0"/>
  </r>
  <r>
    <x v="0"/>
    <x v="0"/>
    <x v="0"/>
    <x v="2"/>
    <x v="334"/>
    <n v="3"/>
    <n v="7"/>
    <n v="5733"/>
    <n v="515.97"/>
    <n v="5217.03"/>
    <n v="4095"/>
    <n v="1122.03"/>
    <x v="4"/>
    <n v="7"/>
    <x v="4"/>
    <x v="0"/>
  </r>
  <r>
    <x v="2"/>
    <x v="1"/>
    <x v="0"/>
    <x v="2"/>
    <x v="335"/>
    <n v="3"/>
    <n v="12"/>
    <n v="18960"/>
    <n v="1706.4"/>
    <n v="17253.599999999999"/>
    <n v="4740"/>
    <n v="12513.599999999999"/>
    <x v="6"/>
    <n v="9"/>
    <x v="6"/>
    <x v="0"/>
  </r>
  <r>
    <x v="0"/>
    <x v="3"/>
    <x v="0"/>
    <x v="2"/>
    <x v="336"/>
    <n v="3"/>
    <n v="7"/>
    <n v="3647"/>
    <n v="328.23"/>
    <n v="3318.77"/>
    <n v="2605"/>
    <n v="713.77"/>
    <x v="2"/>
    <n v="12"/>
    <x v="2"/>
    <x v="0"/>
  </r>
  <r>
    <x v="0"/>
    <x v="4"/>
    <x v="2"/>
    <x v="2"/>
    <x v="337"/>
    <n v="10"/>
    <n v="20"/>
    <n v="19460"/>
    <n v="1751.4"/>
    <n v="17708.599999999999"/>
    <n v="9730"/>
    <n v="7978.5999999999985"/>
    <x v="3"/>
    <n v="3"/>
    <x v="3"/>
    <x v="0"/>
  </r>
  <r>
    <x v="0"/>
    <x v="3"/>
    <x v="2"/>
    <x v="2"/>
    <x v="338"/>
    <n v="10"/>
    <n v="20"/>
    <n v="20760"/>
    <n v="1868.4"/>
    <n v="18891.599999999999"/>
    <n v="10380"/>
    <n v="8511.5999999999985"/>
    <x v="1"/>
    <n v="6"/>
    <x v="1"/>
    <x v="0"/>
  </r>
  <r>
    <x v="0"/>
    <x v="1"/>
    <x v="2"/>
    <x v="2"/>
    <x v="339"/>
    <n v="10"/>
    <n v="7"/>
    <n v="2520"/>
    <n v="226.8"/>
    <n v="2293.1999999999998"/>
    <n v="1800"/>
    <n v="493.19999999999982"/>
    <x v="10"/>
    <n v="10"/>
    <x v="7"/>
    <x v="0"/>
  </r>
  <r>
    <x v="2"/>
    <x v="2"/>
    <x v="3"/>
    <x v="2"/>
    <x v="139"/>
    <n v="120"/>
    <n v="12"/>
    <n v="23604"/>
    <n v="2124.36"/>
    <n v="21479.64"/>
    <n v="5901"/>
    <n v="15578.64"/>
    <x v="3"/>
    <n v="3"/>
    <x v="3"/>
    <x v="0"/>
  </r>
  <r>
    <x v="1"/>
    <x v="3"/>
    <x v="3"/>
    <x v="2"/>
    <x v="340"/>
    <n v="120"/>
    <n v="15"/>
    <n v="39420"/>
    <n v="3547.8"/>
    <n v="35872.199999999997"/>
    <n v="26280"/>
    <n v="9592.1999999999971"/>
    <x v="13"/>
    <n v="4"/>
    <x v="10"/>
    <x v="0"/>
  </r>
  <r>
    <x v="0"/>
    <x v="1"/>
    <x v="4"/>
    <x v="2"/>
    <x v="339"/>
    <n v="250"/>
    <n v="7"/>
    <n v="2520"/>
    <n v="226.8"/>
    <n v="2293.1999999999998"/>
    <n v="1800"/>
    <n v="493.19999999999982"/>
    <x v="10"/>
    <n v="10"/>
    <x v="7"/>
    <x v="0"/>
  </r>
  <r>
    <x v="0"/>
    <x v="2"/>
    <x v="4"/>
    <x v="2"/>
    <x v="341"/>
    <n v="250"/>
    <n v="20"/>
    <n v="53640"/>
    <n v="4827.6000000000004"/>
    <n v="48812.4"/>
    <n v="26820"/>
    <n v="21992.400000000001"/>
    <x v="11"/>
    <n v="11"/>
    <x v="9"/>
    <x v="1"/>
  </r>
  <r>
    <x v="0"/>
    <x v="3"/>
    <x v="4"/>
    <x v="2"/>
    <x v="336"/>
    <n v="250"/>
    <n v="7"/>
    <n v="3647"/>
    <n v="328.23"/>
    <n v="3318.77"/>
    <n v="2605"/>
    <n v="713.77"/>
    <x v="2"/>
    <n v="12"/>
    <x v="2"/>
    <x v="0"/>
  </r>
  <r>
    <x v="0"/>
    <x v="3"/>
    <x v="5"/>
    <x v="2"/>
    <x v="338"/>
    <n v="260"/>
    <n v="20"/>
    <n v="20760"/>
    <n v="1868.4"/>
    <n v="18891.599999999999"/>
    <n v="10380"/>
    <n v="8511.5999999999985"/>
    <x v="1"/>
    <n v="6"/>
    <x v="1"/>
    <x v="0"/>
  </r>
  <r>
    <x v="1"/>
    <x v="0"/>
    <x v="5"/>
    <x v="2"/>
    <x v="342"/>
    <n v="260"/>
    <n v="15"/>
    <n v="24457.5"/>
    <n v="2201.1750000000002"/>
    <n v="22256.324999999997"/>
    <n v="16305"/>
    <n v="5951.3249999999989"/>
    <x v="4"/>
    <n v="7"/>
    <x v="4"/>
    <x v="0"/>
  </r>
  <r>
    <x v="2"/>
    <x v="2"/>
    <x v="5"/>
    <x v="2"/>
    <x v="343"/>
    <n v="260"/>
    <n v="12"/>
    <n v="3672"/>
    <n v="330.48"/>
    <n v="3341.52"/>
    <n v="918"/>
    <n v="2423.52"/>
    <x v="12"/>
    <n v="12"/>
    <x v="2"/>
    <x v="1"/>
  </r>
  <r>
    <x v="2"/>
    <x v="4"/>
    <x v="0"/>
    <x v="3"/>
    <x v="293"/>
    <n v="3"/>
    <n v="12"/>
    <n v="4632"/>
    <n v="463.2"/>
    <n v="4168.8"/>
    <n v="1158"/>
    <n v="3010.8"/>
    <x v="7"/>
    <n v="10"/>
    <x v="7"/>
    <x v="1"/>
  </r>
  <r>
    <x v="0"/>
    <x v="4"/>
    <x v="1"/>
    <x v="3"/>
    <x v="344"/>
    <n v="5"/>
    <n v="7"/>
    <n v="16296"/>
    <n v="1629.6"/>
    <n v="14666.4"/>
    <n v="11640"/>
    <n v="3026.3999999999996"/>
    <x v="6"/>
    <n v="9"/>
    <x v="6"/>
    <x v="0"/>
  </r>
  <r>
    <x v="2"/>
    <x v="4"/>
    <x v="2"/>
    <x v="3"/>
    <x v="293"/>
    <n v="10"/>
    <n v="12"/>
    <n v="4632"/>
    <n v="463.2"/>
    <n v="4168.8"/>
    <n v="1158"/>
    <n v="3010.8"/>
    <x v="7"/>
    <n v="10"/>
    <x v="7"/>
    <x v="1"/>
  </r>
  <r>
    <x v="3"/>
    <x v="4"/>
    <x v="0"/>
    <x v="3"/>
    <x v="345"/>
    <n v="3"/>
    <n v="125"/>
    <n v="430687.5"/>
    <n v="43068.75"/>
    <n v="387618.75"/>
    <n v="413460"/>
    <n v="-25841.25"/>
    <x v="13"/>
    <n v="4"/>
    <x v="10"/>
    <x v="0"/>
  </r>
  <r>
    <x v="3"/>
    <x v="2"/>
    <x v="0"/>
    <x v="3"/>
    <x v="346"/>
    <n v="3"/>
    <n v="125"/>
    <n v="185250"/>
    <n v="18525"/>
    <n v="166725"/>
    <n v="177840"/>
    <n v="-11115"/>
    <x v="12"/>
    <n v="12"/>
    <x v="2"/>
    <x v="1"/>
  </r>
  <r>
    <x v="0"/>
    <x v="4"/>
    <x v="1"/>
    <x v="3"/>
    <x v="347"/>
    <n v="5"/>
    <n v="350"/>
    <n v="809550"/>
    <n v="80955"/>
    <n v="728595"/>
    <n v="601380"/>
    <n v="127215"/>
    <x v="14"/>
    <n v="5"/>
    <x v="11"/>
    <x v="0"/>
  </r>
  <r>
    <x v="3"/>
    <x v="4"/>
    <x v="1"/>
    <x v="3"/>
    <x v="29"/>
    <n v="5"/>
    <n v="125"/>
    <n v="225500"/>
    <n v="22550"/>
    <n v="202950"/>
    <n v="216480"/>
    <n v="-13530"/>
    <x v="11"/>
    <n v="11"/>
    <x v="9"/>
    <x v="1"/>
  </r>
  <r>
    <x v="1"/>
    <x v="2"/>
    <x v="1"/>
    <x v="3"/>
    <x v="348"/>
    <n v="5"/>
    <n v="15"/>
    <n v="31080"/>
    <n v="3108"/>
    <n v="27972"/>
    <n v="20720"/>
    <n v="7252"/>
    <x v="2"/>
    <n v="12"/>
    <x v="2"/>
    <x v="0"/>
  </r>
  <r>
    <x v="0"/>
    <x v="2"/>
    <x v="2"/>
    <x v="3"/>
    <x v="349"/>
    <n v="10"/>
    <n v="20"/>
    <n v="39080"/>
    <n v="3908"/>
    <n v="35172"/>
    <n v="19540"/>
    <n v="15632"/>
    <x v="3"/>
    <n v="3"/>
    <x v="3"/>
    <x v="0"/>
  </r>
  <r>
    <x v="4"/>
    <x v="3"/>
    <x v="2"/>
    <x v="3"/>
    <x v="350"/>
    <n v="10"/>
    <n v="300"/>
    <n v="177300"/>
    <n v="17730"/>
    <n v="159570"/>
    <n v="147750"/>
    <n v="11820"/>
    <x v="14"/>
    <n v="5"/>
    <x v="11"/>
    <x v="0"/>
  </r>
  <r>
    <x v="1"/>
    <x v="2"/>
    <x v="2"/>
    <x v="3"/>
    <x v="351"/>
    <n v="10"/>
    <n v="15"/>
    <n v="32505"/>
    <n v="3250.5"/>
    <n v="29254.5"/>
    <n v="21670"/>
    <n v="7584.5"/>
    <x v="7"/>
    <n v="10"/>
    <x v="7"/>
    <x v="1"/>
  </r>
  <r>
    <x v="0"/>
    <x v="1"/>
    <x v="2"/>
    <x v="3"/>
    <x v="352"/>
    <n v="10"/>
    <n v="20"/>
    <n v="4820"/>
    <n v="482"/>
    <n v="4338"/>
    <n v="2410"/>
    <n v="1928"/>
    <x v="10"/>
    <n v="10"/>
    <x v="7"/>
    <x v="0"/>
  </r>
  <r>
    <x v="1"/>
    <x v="1"/>
    <x v="3"/>
    <x v="3"/>
    <x v="353"/>
    <n v="120"/>
    <n v="15"/>
    <n v="10215"/>
    <n v="1021.5"/>
    <n v="9193.5"/>
    <n v="6810"/>
    <n v="2383.5"/>
    <x v="0"/>
    <n v="1"/>
    <x v="0"/>
    <x v="0"/>
  </r>
  <r>
    <x v="1"/>
    <x v="1"/>
    <x v="3"/>
    <x v="3"/>
    <x v="354"/>
    <n v="120"/>
    <n v="15"/>
    <n v="7650"/>
    <n v="765"/>
    <n v="6885"/>
    <n v="5100"/>
    <n v="1785"/>
    <x v="13"/>
    <n v="4"/>
    <x v="10"/>
    <x v="0"/>
  </r>
  <r>
    <x v="1"/>
    <x v="4"/>
    <x v="3"/>
    <x v="3"/>
    <x v="355"/>
    <n v="120"/>
    <n v="15"/>
    <n v="11850"/>
    <n v="1185"/>
    <n v="10665"/>
    <n v="7900"/>
    <n v="2765"/>
    <x v="14"/>
    <n v="5"/>
    <x v="11"/>
    <x v="0"/>
  </r>
  <r>
    <x v="0"/>
    <x v="2"/>
    <x v="3"/>
    <x v="3"/>
    <x v="44"/>
    <n v="120"/>
    <n v="350"/>
    <n v="223650"/>
    <n v="22365"/>
    <n v="201285"/>
    <n v="166140"/>
    <n v="35145"/>
    <x v="4"/>
    <n v="7"/>
    <x v="4"/>
    <x v="0"/>
  </r>
  <r>
    <x v="3"/>
    <x v="4"/>
    <x v="3"/>
    <x v="3"/>
    <x v="356"/>
    <n v="120"/>
    <n v="125"/>
    <n v="199500"/>
    <n v="19950"/>
    <n v="179550"/>
    <n v="191520"/>
    <n v="-11970"/>
    <x v="6"/>
    <n v="9"/>
    <x v="6"/>
    <x v="0"/>
  </r>
  <r>
    <x v="4"/>
    <x v="4"/>
    <x v="3"/>
    <x v="3"/>
    <x v="357"/>
    <n v="120"/>
    <n v="300"/>
    <n v="688200"/>
    <n v="68820"/>
    <n v="619380"/>
    <n v="573500"/>
    <n v="45880"/>
    <x v="7"/>
    <n v="10"/>
    <x v="7"/>
    <x v="1"/>
  </r>
  <r>
    <x v="0"/>
    <x v="1"/>
    <x v="3"/>
    <x v="3"/>
    <x v="352"/>
    <n v="120"/>
    <n v="20"/>
    <n v="4820"/>
    <n v="482"/>
    <n v="4338"/>
    <n v="2410"/>
    <n v="1928"/>
    <x v="10"/>
    <n v="10"/>
    <x v="7"/>
    <x v="0"/>
  </r>
  <r>
    <x v="0"/>
    <x v="1"/>
    <x v="3"/>
    <x v="3"/>
    <x v="358"/>
    <n v="120"/>
    <n v="7"/>
    <n v="18655"/>
    <n v="1865.5"/>
    <n v="16789.5"/>
    <n v="13325"/>
    <n v="3464.5"/>
    <x v="15"/>
    <n v="11"/>
    <x v="9"/>
    <x v="0"/>
  </r>
  <r>
    <x v="3"/>
    <x v="0"/>
    <x v="3"/>
    <x v="3"/>
    <x v="94"/>
    <n v="120"/>
    <n v="125"/>
    <n v="239500"/>
    <n v="23950"/>
    <n v="215550"/>
    <n v="229920"/>
    <n v="-14370"/>
    <x v="12"/>
    <n v="12"/>
    <x v="2"/>
    <x v="1"/>
  </r>
  <r>
    <x v="4"/>
    <x v="2"/>
    <x v="3"/>
    <x v="3"/>
    <x v="359"/>
    <n v="120"/>
    <n v="300"/>
    <n v="255900"/>
    <n v="25590"/>
    <n v="230310"/>
    <n v="213250"/>
    <n v="17060"/>
    <x v="2"/>
    <n v="12"/>
    <x v="2"/>
    <x v="0"/>
  </r>
  <r>
    <x v="3"/>
    <x v="3"/>
    <x v="4"/>
    <x v="3"/>
    <x v="360"/>
    <n v="250"/>
    <n v="125"/>
    <n v="42625"/>
    <n v="4262.5"/>
    <n v="38362.5"/>
    <n v="40920"/>
    <n v="-2557.5"/>
    <x v="14"/>
    <n v="5"/>
    <x v="11"/>
    <x v="0"/>
  </r>
  <r>
    <x v="1"/>
    <x v="3"/>
    <x v="4"/>
    <x v="3"/>
    <x v="361"/>
    <n v="250"/>
    <n v="15"/>
    <n v="9615"/>
    <n v="961.5"/>
    <n v="8653.5"/>
    <n v="6410"/>
    <n v="2243.5"/>
    <x v="4"/>
    <n v="7"/>
    <x v="4"/>
    <x v="0"/>
  </r>
  <r>
    <x v="0"/>
    <x v="4"/>
    <x v="4"/>
    <x v="3"/>
    <x v="362"/>
    <n v="250"/>
    <n v="350"/>
    <n v="982450"/>
    <n v="98245"/>
    <n v="884205"/>
    <n v="729820"/>
    <n v="154385"/>
    <x v="5"/>
    <n v="8"/>
    <x v="5"/>
    <x v="0"/>
  </r>
  <r>
    <x v="4"/>
    <x v="3"/>
    <x v="4"/>
    <x v="3"/>
    <x v="363"/>
    <n v="250"/>
    <n v="300"/>
    <n v="129600"/>
    <n v="12960"/>
    <n v="116640"/>
    <n v="108000"/>
    <n v="8640"/>
    <x v="6"/>
    <n v="9"/>
    <x v="6"/>
    <x v="0"/>
  </r>
  <r>
    <x v="4"/>
    <x v="4"/>
    <x v="4"/>
    <x v="3"/>
    <x v="357"/>
    <n v="250"/>
    <n v="300"/>
    <n v="688200"/>
    <n v="68820"/>
    <n v="619380"/>
    <n v="573500"/>
    <n v="45880"/>
    <x v="7"/>
    <n v="10"/>
    <x v="7"/>
    <x v="1"/>
  </r>
  <r>
    <x v="1"/>
    <x v="2"/>
    <x v="4"/>
    <x v="3"/>
    <x v="351"/>
    <n v="250"/>
    <n v="15"/>
    <n v="32505"/>
    <n v="3250.5"/>
    <n v="29254.5"/>
    <n v="21670"/>
    <n v="7584.5"/>
    <x v="7"/>
    <n v="10"/>
    <x v="7"/>
    <x v="1"/>
  </r>
  <r>
    <x v="3"/>
    <x v="0"/>
    <x v="4"/>
    <x v="3"/>
    <x v="48"/>
    <n v="250"/>
    <n v="125"/>
    <n v="316125"/>
    <n v="31612.5"/>
    <n v="284512.5"/>
    <n v="303480"/>
    <n v="-18967.5"/>
    <x v="15"/>
    <n v="11"/>
    <x v="9"/>
    <x v="0"/>
  </r>
  <r>
    <x v="0"/>
    <x v="1"/>
    <x v="4"/>
    <x v="3"/>
    <x v="364"/>
    <n v="250"/>
    <n v="350"/>
    <n v="654500"/>
    <n v="65450"/>
    <n v="589050"/>
    <n v="486200"/>
    <n v="102850"/>
    <x v="12"/>
    <n v="12"/>
    <x v="2"/>
    <x v="1"/>
  </r>
  <r>
    <x v="3"/>
    <x v="4"/>
    <x v="5"/>
    <x v="3"/>
    <x v="365"/>
    <n v="260"/>
    <n v="125"/>
    <n v="72375"/>
    <n v="7237.5"/>
    <n v="65137.5"/>
    <n v="69480"/>
    <n v="-4342.5"/>
    <x v="0"/>
    <n v="1"/>
    <x v="0"/>
    <x v="0"/>
  </r>
  <r>
    <x v="0"/>
    <x v="0"/>
    <x v="5"/>
    <x v="3"/>
    <x v="366"/>
    <n v="260"/>
    <n v="350"/>
    <n v="784000"/>
    <n v="78400"/>
    <n v="705600"/>
    <n v="582400"/>
    <n v="123200"/>
    <x v="8"/>
    <n v="2"/>
    <x v="8"/>
    <x v="0"/>
  </r>
  <r>
    <x v="4"/>
    <x v="4"/>
    <x v="5"/>
    <x v="3"/>
    <x v="288"/>
    <n v="260"/>
    <n v="300"/>
    <n v="897900"/>
    <n v="89790"/>
    <n v="808110"/>
    <n v="748250"/>
    <n v="59860"/>
    <x v="3"/>
    <n v="3"/>
    <x v="3"/>
    <x v="0"/>
  </r>
  <r>
    <x v="2"/>
    <x v="0"/>
    <x v="5"/>
    <x v="3"/>
    <x v="367"/>
    <n v="260"/>
    <n v="12"/>
    <n v="42246"/>
    <n v="4224.6000000000004"/>
    <n v="38021.399999999994"/>
    <n v="10561.5"/>
    <n v="27459.899999999998"/>
    <x v="13"/>
    <n v="4"/>
    <x v="10"/>
    <x v="0"/>
  </r>
  <r>
    <x v="0"/>
    <x v="3"/>
    <x v="5"/>
    <x v="3"/>
    <x v="368"/>
    <n v="260"/>
    <n v="20"/>
    <n v="40780"/>
    <n v="4078"/>
    <n v="36702"/>
    <n v="20390"/>
    <n v="16312"/>
    <x v="14"/>
    <n v="5"/>
    <x v="11"/>
    <x v="0"/>
  </r>
  <r>
    <x v="2"/>
    <x v="1"/>
    <x v="5"/>
    <x v="3"/>
    <x v="369"/>
    <n v="260"/>
    <n v="12"/>
    <n v="30888"/>
    <n v="3088.8"/>
    <n v="27799.200000000001"/>
    <n v="7722"/>
    <n v="20077.2"/>
    <x v="5"/>
    <n v="8"/>
    <x v="5"/>
    <x v="0"/>
  </r>
  <r>
    <x v="0"/>
    <x v="0"/>
    <x v="5"/>
    <x v="3"/>
    <x v="370"/>
    <n v="260"/>
    <n v="350"/>
    <n v="247450"/>
    <n v="24745"/>
    <n v="222705"/>
    <n v="183820"/>
    <n v="38885"/>
    <x v="6"/>
    <n v="9"/>
    <x v="6"/>
    <x v="0"/>
  </r>
  <r>
    <x v="1"/>
    <x v="2"/>
    <x v="5"/>
    <x v="3"/>
    <x v="348"/>
    <n v="260"/>
    <n v="15"/>
    <n v="31080"/>
    <n v="3108"/>
    <n v="27972"/>
    <n v="20720"/>
    <n v="7252"/>
    <x v="2"/>
    <n v="12"/>
    <x v="2"/>
    <x v="0"/>
  </r>
  <r>
    <x v="4"/>
    <x v="2"/>
    <x v="5"/>
    <x v="3"/>
    <x v="359"/>
    <n v="260"/>
    <n v="300"/>
    <n v="255900"/>
    <n v="25590"/>
    <n v="230310"/>
    <n v="213250"/>
    <n v="17060"/>
    <x v="2"/>
    <n v="12"/>
    <x v="2"/>
    <x v="0"/>
  </r>
  <r>
    <x v="2"/>
    <x v="2"/>
    <x v="0"/>
    <x v="3"/>
    <x v="371"/>
    <n v="3"/>
    <n v="12"/>
    <n v="14376"/>
    <n v="1581.36"/>
    <n v="12794.64"/>
    <n v="3594"/>
    <n v="9200.64"/>
    <x v="7"/>
    <n v="10"/>
    <x v="7"/>
    <x v="1"/>
  </r>
  <r>
    <x v="0"/>
    <x v="2"/>
    <x v="2"/>
    <x v="3"/>
    <x v="372"/>
    <n v="10"/>
    <n v="7"/>
    <n v="17724"/>
    <n v="1949.6399999999999"/>
    <n v="15774.36"/>
    <n v="12660"/>
    <n v="3114.3599999999997"/>
    <x v="13"/>
    <n v="4"/>
    <x v="10"/>
    <x v="0"/>
  </r>
  <r>
    <x v="2"/>
    <x v="2"/>
    <x v="2"/>
    <x v="3"/>
    <x v="371"/>
    <n v="10"/>
    <n v="12"/>
    <n v="14376"/>
    <n v="1581.36"/>
    <n v="12794.64"/>
    <n v="3594"/>
    <n v="9200.64"/>
    <x v="7"/>
    <n v="10"/>
    <x v="7"/>
    <x v="1"/>
  </r>
  <r>
    <x v="1"/>
    <x v="0"/>
    <x v="3"/>
    <x v="3"/>
    <x v="373"/>
    <n v="120"/>
    <n v="15"/>
    <n v="5760"/>
    <n v="633.59999999999991"/>
    <n v="5126.3999999999996"/>
    <n v="3840"/>
    <n v="1286.3999999999999"/>
    <x v="0"/>
    <n v="1"/>
    <x v="0"/>
    <x v="0"/>
  </r>
  <r>
    <x v="2"/>
    <x v="1"/>
    <x v="3"/>
    <x v="3"/>
    <x v="374"/>
    <n v="120"/>
    <n v="12"/>
    <n v="5664"/>
    <n v="623.04"/>
    <n v="5040.96"/>
    <n v="1416"/>
    <n v="3624.96"/>
    <x v="10"/>
    <n v="10"/>
    <x v="7"/>
    <x v="0"/>
  </r>
  <r>
    <x v="0"/>
    <x v="4"/>
    <x v="4"/>
    <x v="3"/>
    <x v="199"/>
    <n v="250"/>
    <n v="7"/>
    <n v="11053"/>
    <n v="1215.83"/>
    <n v="9837.17"/>
    <n v="7895"/>
    <n v="1942.17"/>
    <x v="3"/>
    <n v="3"/>
    <x v="3"/>
    <x v="0"/>
  </r>
  <r>
    <x v="2"/>
    <x v="3"/>
    <x v="4"/>
    <x v="3"/>
    <x v="375"/>
    <n v="250"/>
    <n v="12"/>
    <n v="12060"/>
    <n v="1326.6"/>
    <n v="10733.4"/>
    <n v="3015"/>
    <n v="7718.4"/>
    <x v="9"/>
    <n v="9"/>
    <x v="6"/>
    <x v="1"/>
  </r>
  <r>
    <x v="1"/>
    <x v="4"/>
    <x v="5"/>
    <x v="3"/>
    <x v="376"/>
    <n v="260"/>
    <n v="15"/>
    <n v="47992.5"/>
    <n v="5279.1749999999993"/>
    <n v="42713.324999999997"/>
    <n v="31995"/>
    <n v="10718.324999999999"/>
    <x v="4"/>
    <n v="7"/>
    <x v="4"/>
    <x v="0"/>
  </r>
  <r>
    <x v="2"/>
    <x v="1"/>
    <x v="5"/>
    <x v="3"/>
    <x v="374"/>
    <n v="260"/>
    <n v="12"/>
    <n v="5664"/>
    <n v="623.04"/>
    <n v="5040.96"/>
    <n v="1416"/>
    <n v="3624.96"/>
    <x v="10"/>
    <n v="10"/>
    <x v="7"/>
    <x v="0"/>
  </r>
  <r>
    <x v="2"/>
    <x v="0"/>
    <x v="0"/>
    <x v="3"/>
    <x v="377"/>
    <n v="3"/>
    <n v="12"/>
    <n v="23244"/>
    <n v="2556.84"/>
    <n v="20687.16"/>
    <n v="5811"/>
    <n v="14876.16"/>
    <x v="8"/>
    <n v="2"/>
    <x v="8"/>
    <x v="0"/>
  </r>
  <r>
    <x v="0"/>
    <x v="1"/>
    <x v="0"/>
    <x v="3"/>
    <x v="378"/>
    <n v="3"/>
    <n v="350"/>
    <n v="277200"/>
    <n v="30492"/>
    <n v="246708"/>
    <n v="205920"/>
    <n v="40788"/>
    <x v="3"/>
    <n v="3"/>
    <x v="3"/>
    <x v="0"/>
  </r>
  <r>
    <x v="4"/>
    <x v="1"/>
    <x v="0"/>
    <x v="3"/>
    <x v="379"/>
    <n v="3"/>
    <n v="300"/>
    <n v="843300"/>
    <n v="92763"/>
    <n v="750537"/>
    <n v="702750"/>
    <n v="47787"/>
    <x v="4"/>
    <n v="7"/>
    <x v="4"/>
    <x v="0"/>
  </r>
  <r>
    <x v="3"/>
    <x v="2"/>
    <x v="0"/>
    <x v="3"/>
    <x v="380"/>
    <n v="3"/>
    <n v="125"/>
    <n v="305125"/>
    <n v="33563.75"/>
    <n v="271561.25"/>
    <n v="292920"/>
    <n v="-21358.75"/>
    <x v="10"/>
    <n v="10"/>
    <x v="7"/>
    <x v="0"/>
  </r>
  <r>
    <x v="1"/>
    <x v="0"/>
    <x v="0"/>
    <x v="3"/>
    <x v="381"/>
    <n v="3"/>
    <n v="15"/>
    <n v="23400"/>
    <n v="2574"/>
    <n v="20826"/>
    <n v="15600"/>
    <n v="5226"/>
    <x v="11"/>
    <n v="11"/>
    <x v="9"/>
    <x v="1"/>
  </r>
  <r>
    <x v="0"/>
    <x v="3"/>
    <x v="0"/>
    <x v="3"/>
    <x v="382"/>
    <n v="3"/>
    <n v="7"/>
    <n v="18942"/>
    <n v="2083.62"/>
    <n v="16858.38"/>
    <n v="13530"/>
    <n v="3328.380000000001"/>
    <x v="11"/>
    <n v="11"/>
    <x v="9"/>
    <x v="1"/>
  </r>
  <r>
    <x v="0"/>
    <x v="1"/>
    <x v="1"/>
    <x v="3"/>
    <x v="52"/>
    <n v="5"/>
    <n v="350"/>
    <n v="268100"/>
    <n v="29491"/>
    <n v="238609"/>
    <n v="199160"/>
    <n v="39449"/>
    <x v="0"/>
    <n v="1"/>
    <x v="0"/>
    <x v="0"/>
  </r>
  <r>
    <x v="0"/>
    <x v="1"/>
    <x v="1"/>
    <x v="3"/>
    <x v="181"/>
    <n v="5"/>
    <n v="20"/>
    <n v="59840"/>
    <n v="6582.4"/>
    <n v="53257.599999999999"/>
    <n v="29920"/>
    <n v="23337.599999999999"/>
    <x v="7"/>
    <n v="10"/>
    <x v="7"/>
    <x v="1"/>
  </r>
  <r>
    <x v="1"/>
    <x v="3"/>
    <x v="1"/>
    <x v="3"/>
    <x v="383"/>
    <n v="5"/>
    <n v="15"/>
    <n v="32355"/>
    <n v="3559.05"/>
    <n v="28795.95"/>
    <n v="21570"/>
    <n v="7225.9500000000007"/>
    <x v="2"/>
    <n v="12"/>
    <x v="2"/>
    <x v="0"/>
  </r>
  <r>
    <x v="4"/>
    <x v="0"/>
    <x v="2"/>
    <x v="3"/>
    <x v="384"/>
    <n v="10"/>
    <n v="300"/>
    <n v="261900"/>
    <n v="28809"/>
    <n v="233091"/>
    <n v="218250"/>
    <n v="14841"/>
    <x v="0"/>
    <n v="1"/>
    <x v="0"/>
    <x v="0"/>
  </r>
  <r>
    <x v="0"/>
    <x v="3"/>
    <x v="2"/>
    <x v="3"/>
    <x v="385"/>
    <n v="10"/>
    <n v="20"/>
    <n v="22440"/>
    <n v="2468.4"/>
    <n v="19971.599999999999"/>
    <n v="11220"/>
    <n v="8751.5999999999985"/>
    <x v="3"/>
    <n v="3"/>
    <x v="3"/>
    <x v="0"/>
  </r>
  <r>
    <x v="0"/>
    <x v="0"/>
    <x v="2"/>
    <x v="3"/>
    <x v="386"/>
    <n v="10"/>
    <n v="350"/>
    <n v="736575"/>
    <n v="81023.25"/>
    <n v="655551.75"/>
    <n v="547170"/>
    <n v="108381.75"/>
    <x v="4"/>
    <n v="7"/>
    <x v="4"/>
    <x v="0"/>
  </r>
  <r>
    <x v="2"/>
    <x v="0"/>
    <x v="2"/>
    <x v="3"/>
    <x v="387"/>
    <n v="10"/>
    <n v="12"/>
    <n v="48312"/>
    <n v="5314.32"/>
    <n v="42997.68"/>
    <n v="12078"/>
    <n v="30919.68"/>
    <x v="4"/>
    <n v="7"/>
    <x v="4"/>
    <x v="0"/>
  </r>
  <r>
    <x v="2"/>
    <x v="2"/>
    <x v="2"/>
    <x v="3"/>
    <x v="388"/>
    <n v="10"/>
    <n v="12"/>
    <n v="29106"/>
    <n v="3201.66"/>
    <n v="25904.340000000004"/>
    <n v="7276.5"/>
    <n v="18627.840000000004"/>
    <x v="4"/>
    <n v="7"/>
    <x v="4"/>
    <x v="0"/>
  </r>
  <r>
    <x v="0"/>
    <x v="0"/>
    <x v="2"/>
    <x v="3"/>
    <x v="389"/>
    <n v="10"/>
    <n v="20"/>
    <n v="47880"/>
    <n v="5266.8"/>
    <n v="42613.2"/>
    <n v="23940"/>
    <n v="18673.199999999997"/>
    <x v="5"/>
    <n v="8"/>
    <x v="5"/>
    <x v="0"/>
  </r>
  <r>
    <x v="1"/>
    <x v="3"/>
    <x v="2"/>
    <x v="3"/>
    <x v="390"/>
    <n v="10"/>
    <n v="15"/>
    <n v="29760"/>
    <n v="3273.6"/>
    <n v="26486.400000000001"/>
    <n v="19840"/>
    <n v="6646.4000000000015"/>
    <x v="5"/>
    <n v="8"/>
    <x v="5"/>
    <x v="0"/>
  </r>
  <r>
    <x v="3"/>
    <x v="2"/>
    <x v="2"/>
    <x v="3"/>
    <x v="380"/>
    <n v="10"/>
    <n v="125"/>
    <n v="305125"/>
    <n v="33563.75"/>
    <n v="271561.25"/>
    <n v="292920"/>
    <n v="-21358.75"/>
    <x v="10"/>
    <n v="10"/>
    <x v="7"/>
    <x v="0"/>
  </r>
  <r>
    <x v="0"/>
    <x v="1"/>
    <x v="2"/>
    <x v="3"/>
    <x v="181"/>
    <n v="10"/>
    <n v="20"/>
    <n v="59840"/>
    <n v="6582.4"/>
    <n v="53257.599999999999"/>
    <n v="29920"/>
    <n v="23337.599999999999"/>
    <x v="7"/>
    <n v="10"/>
    <x v="7"/>
    <x v="1"/>
  </r>
  <r>
    <x v="4"/>
    <x v="0"/>
    <x v="2"/>
    <x v="3"/>
    <x v="282"/>
    <n v="10"/>
    <n v="300"/>
    <n v="409800"/>
    <n v="45078"/>
    <n v="364722"/>
    <n v="341500"/>
    <n v="23222"/>
    <x v="15"/>
    <n v="11"/>
    <x v="9"/>
    <x v="0"/>
  </r>
  <r>
    <x v="0"/>
    <x v="2"/>
    <x v="3"/>
    <x v="3"/>
    <x v="391"/>
    <n v="120"/>
    <n v="20"/>
    <n v="56100"/>
    <n v="6171"/>
    <n v="49929"/>
    <n v="28050"/>
    <n v="21879"/>
    <x v="9"/>
    <n v="9"/>
    <x v="6"/>
    <x v="1"/>
  </r>
  <r>
    <x v="1"/>
    <x v="3"/>
    <x v="3"/>
    <x v="3"/>
    <x v="392"/>
    <n v="120"/>
    <n v="15"/>
    <n v="9825"/>
    <n v="1080.75"/>
    <n v="8744.25"/>
    <n v="6550"/>
    <n v="2194.25"/>
    <x v="9"/>
    <n v="9"/>
    <x v="6"/>
    <x v="1"/>
  </r>
  <r>
    <x v="0"/>
    <x v="3"/>
    <x v="3"/>
    <x v="3"/>
    <x v="393"/>
    <n v="120"/>
    <n v="350"/>
    <n v="120400"/>
    <n v="13244"/>
    <n v="107156"/>
    <n v="89440"/>
    <n v="17716"/>
    <x v="7"/>
    <n v="10"/>
    <x v="7"/>
    <x v="1"/>
  </r>
  <r>
    <x v="0"/>
    <x v="0"/>
    <x v="3"/>
    <x v="3"/>
    <x v="394"/>
    <n v="120"/>
    <n v="7"/>
    <n v="12656"/>
    <n v="1392.16"/>
    <n v="11263.84"/>
    <n v="9040"/>
    <n v="2223.84"/>
    <x v="15"/>
    <n v="11"/>
    <x v="9"/>
    <x v="0"/>
  </r>
  <r>
    <x v="2"/>
    <x v="2"/>
    <x v="4"/>
    <x v="3"/>
    <x v="395"/>
    <n v="250"/>
    <n v="12"/>
    <n v="20808"/>
    <n v="2288.88"/>
    <n v="18519.12"/>
    <n v="5202"/>
    <n v="13317.119999999999"/>
    <x v="0"/>
    <n v="1"/>
    <x v="0"/>
    <x v="0"/>
  </r>
  <r>
    <x v="3"/>
    <x v="3"/>
    <x v="4"/>
    <x v="3"/>
    <x v="396"/>
    <n v="250"/>
    <n v="125"/>
    <n v="69250"/>
    <n v="7617.5"/>
    <n v="61632.5"/>
    <n v="66480"/>
    <n v="-4847.5"/>
    <x v="0"/>
    <n v="1"/>
    <x v="0"/>
    <x v="0"/>
  </r>
  <r>
    <x v="0"/>
    <x v="0"/>
    <x v="4"/>
    <x v="3"/>
    <x v="397"/>
    <n v="250"/>
    <n v="20"/>
    <n v="58700"/>
    <n v="6457"/>
    <n v="52243"/>
    <n v="29350"/>
    <n v="22893"/>
    <x v="11"/>
    <n v="11"/>
    <x v="9"/>
    <x v="1"/>
  </r>
  <r>
    <x v="3"/>
    <x v="1"/>
    <x v="5"/>
    <x v="3"/>
    <x v="398"/>
    <n v="260"/>
    <n v="125"/>
    <n v="395625"/>
    <n v="43518.75"/>
    <n v="352106.25"/>
    <n v="379800"/>
    <n v="-27693.75"/>
    <x v="0"/>
    <n v="1"/>
    <x v="0"/>
    <x v="0"/>
  </r>
  <r>
    <x v="0"/>
    <x v="3"/>
    <x v="5"/>
    <x v="3"/>
    <x v="399"/>
    <n v="260"/>
    <n v="20"/>
    <n v="52580"/>
    <n v="5783.8"/>
    <n v="46796.2"/>
    <n v="26290"/>
    <n v="20506.199999999997"/>
    <x v="0"/>
    <n v="1"/>
    <x v="0"/>
    <x v="0"/>
  </r>
  <r>
    <x v="3"/>
    <x v="2"/>
    <x v="5"/>
    <x v="3"/>
    <x v="400"/>
    <n v="260"/>
    <n v="125"/>
    <n v="179125"/>
    <n v="19703.75"/>
    <n v="159421.25"/>
    <n v="171960"/>
    <n v="-12538.75"/>
    <x v="14"/>
    <n v="5"/>
    <x v="11"/>
    <x v="0"/>
  </r>
  <r>
    <x v="3"/>
    <x v="3"/>
    <x v="5"/>
    <x v="3"/>
    <x v="401"/>
    <n v="260"/>
    <n v="125"/>
    <n v="118375"/>
    <n v="13021.25"/>
    <n v="105353.75"/>
    <n v="113640"/>
    <n v="-8286.25"/>
    <x v="9"/>
    <n v="9"/>
    <x v="6"/>
    <x v="1"/>
  </r>
  <r>
    <x v="0"/>
    <x v="3"/>
    <x v="5"/>
    <x v="3"/>
    <x v="393"/>
    <n v="260"/>
    <n v="350"/>
    <n v="120400"/>
    <n v="13244"/>
    <n v="107156"/>
    <n v="89440"/>
    <n v="17716"/>
    <x v="7"/>
    <n v="10"/>
    <x v="7"/>
    <x v="1"/>
  </r>
  <r>
    <x v="1"/>
    <x v="3"/>
    <x v="5"/>
    <x v="3"/>
    <x v="383"/>
    <n v="260"/>
    <n v="15"/>
    <n v="32355"/>
    <n v="3559.05"/>
    <n v="28795.95"/>
    <n v="21570"/>
    <n v="7225.9500000000007"/>
    <x v="2"/>
    <n v="12"/>
    <x v="2"/>
    <x v="0"/>
  </r>
  <r>
    <x v="0"/>
    <x v="4"/>
    <x v="2"/>
    <x v="3"/>
    <x v="402"/>
    <n v="10"/>
    <n v="7"/>
    <n v="2660"/>
    <n v="292.60000000000002"/>
    <n v="2367.4"/>
    <n v="1900"/>
    <n v="467.40000000000009"/>
    <x v="9"/>
    <n v="9"/>
    <x v="6"/>
    <x v="1"/>
  </r>
  <r>
    <x v="0"/>
    <x v="3"/>
    <x v="0"/>
    <x v="3"/>
    <x v="403"/>
    <n v="3"/>
    <n v="350"/>
    <n v="310100"/>
    <n v="37212"/>
    <n v="272888"/>
    <n v="230360"/>
    <n v="42528"/>
    <x v="1"/>
    <n v="6"/>
    <x v="1"/>
    <x v="0"/>
  </r>
  <r>
    <x v="3"/>
    <x v="0"/>
    <x v="0"/>
    <x v="3"/>
    <x v="404"/>
    <n v="3"/>
    <n v="125"/>
    <n v="302000"/>
    <n v="36240"/>
    <n v="265760"/>
    <n v="289920"/>
    <n v="-24160"/>
    <x v="9"/>
    <n v="9"/>
    <x v="6"/>
    <x v="1"/>
  </r>
  <r>
    <x v="3"/>
    <x v="3"/>
    <x v="0"/>
    <x v="3"/>
    <x v="405"/>
    <n v="3"/>
    <n v="125"/>
    <n v="269500"/>
    <n v="32340"/>
    <n v="237160"/>
    <n v="258720"/>
    <n v="-21560"/>
    <x v="10"/>
    <n v="10"/>
    <x v="7"/>
    <x v="0"/>
  </r>
  <r>
    <x v="1"/>
    <x v="0"/>
    <x v="0"/>
    <x v="3"/>
    <x v="164"/>
    <n v="3"/>
    <n v="15"/>
    <n v="40335"/>
    <n v="4840.2"/>
    <n v="35494.800000000003"/>
    <n v="26890"/>
    <n v="8604.8000000000029"/>
    <x v="15"/>
    <n v="11"/>
    <x v="9"/>
    <x v="0"/>
  </r>
  <r>
    <x v="1"/>
    <x v="4"/>
    <x v="1"/>
    <x v="3"/>
    <x v="406"/>
    <n v="5"/>
    <n v="15"/>
    <n v="10155"/>
    <n v="1218.5999999999999"/>
    <n v="8936.4"/>
    <n v="6770"/>
    <n v="2166.3999999999996"/>
    <x v="3"/>
    <n v="3"/>
    <x v="3"/>
    <x v="0"/>
  </r>
  <r>
    <x v="4"/>
    <x v="2"/>
    <x v="1"/>
    <x v="3"/>
    <x v="407"/>
    <n v="5"/>
    <n v="300"/>
    <n v="531900"/>
    <n v="63828"/>
    <n v="468072"/>
    <n v="443250"/>
    <n v="24822"/>
    <x v="13"/>
    <n v="4"/>
    <x v="10"/>
    <x v="0"/>
  </r>
  <r>
    <x v="0"/>
    <x v="3"/>
    <x v="1"/>
    <x v="3"/>
    <x v="408"/>
    <n v="5"/>
    <n v="7"/>
    <n v="16940"/>
    <n v="2032.8"/>
    <n v="14907.2"/>
    <n v="12100"/>
    <n v="2807.2000000000007"/>
    <x v="6"/>
    <n v="9"/>
    <x v="6"/>
    <x v="0"/>
  </r>
  <r>
    <x v="0"/>
    <x v="0"/>
    <x v="1"/>
    <x v="3"/>
    <x v="409"/>
    <n v="5"/>
    <n v="7"/>
    <n v="19138"/>
    <n v="2296.56"/>
    <n v="16841.439999999999"/>
    <n v="13670"/>
    <n v="3171.4399999999987"/>
    <x v="10"/>
    <n v="10"/>
    <x v="7"/>
    <x v="0"/>
  </r>
  <r>
    <x v="0"/>
    <x v="3"/>
    <x v="1"/>
    <x v="3"/>
    <x v="410"/>
    <n v="5"/>
    <n v="20"/>
    <n v="34300"/>
    <n v="4116"/>
    <n v="30184"/>
    <n v="17150"/>
    <n v="13034"/>
    <x v="7"/>
    <n v="10"/>
    <x v="7"/>
    <x v="1"/>
  </r>
  <r>
    <x v="4"/>
    <x v="2"/>
    <x v="1"/>
    <x v="3"/>
    <x v="411"/>
    <n v="5"/>
    <n v="300"/>
    <n v="355800"/>
    <n v="42696"/>
    <n v="313104"/>
    <n v="296500"/>
    <n v="16604"/>
    <x v="12"/>
    <n v="12"/>
    <x v="2"/>
    <x v="1"/>
  </r>
  <r>
    <x v="4"/>
    <x v="4"/>
    <x v="2"/>
    <x v="3"/>
    <x v="412"/>
    <n v="10"/>
    <n v="300"/>
    <n v="1048500"/>
    <n v="125820"/>
    <n v="922680"/>
    <n v="873750"/>
    <n v="48930"/>
    <x v="0"/>
    <n v="1"/>
    <x v="0"/>
    <x v="0"/>
  </r>
  <r>
    <x v="0"/>
    <x v="3"/>
    <x v="2"/>
    <x v="3"/>
    <x v="403"/>
    <n v="10"/>
    <n v="350"/>
    <n v="310100"/>
    <n v="37212"/>
    <n v="272888"/>
    <n v="230360"/>
    <n v="42528"/>
    <x v="1"/>
    <n v="6"/>
    <x v="1"/>
    <x v="0"/>
  </r>
  <r>
    <x v="3"/>
    <x v="3"/>
    <x v="2"/>
    <x v="3"/>
    <x v="405"/>
    <n v="10"/>
    <n v="125"/>
    <n v="269500"/>
    <n v="32340"/>
    <n v="237160"/>
    <n v="258720"/>
    <n v="-21560"/>
    <x v="10"/>
    <n v="10"/>
    <x v="7"/>
    <x v="0"/>
  </r>
  <r>
    <x v="0"/>
    <x v="3"/>
    <x v="2"/>
    <x v="3"/>
    <x v="413"/>
    <n v="10"/>
    <n v="20"/>
    <n v="18100"/>
    <n v="2172"/>
    <n v="15928"/>
    <n v="9050"/>
    <n v="6878"/>
    <x v="10"/>
    <n v="10"/>
    <x v="7"/>
    <x v="0"/>
  </r>
  <r>
    <x v="0"/>
    <x v="3"/>
    <x v="2"/>
    <x v="3"/>
    <x v="410"/>
    <n v="10"/>
    <n v="20"/>
    <n v="34300"/>
    <n v="4116"/>
    <n v="30184"/>
    <n v="17150"/>
    <n v="13034"/>
    <x v="7"/>
    <n v="10"/>
    <x v="7"/>
    <x v="1"/>
  </r>
  <r>
    <x v="0"/>
    <x v="2"/>
    <x v="2"/>
    <x v="3"/>
    <x v="414"/>
    <n v="10"/>
    <n v="350"/>
    <n v="557900"/>
    <n v="66948"/>
    <n v="490952"/>
    <n v="414440"/>
    <n v="76512"/>
    <x v="15"/>
    <n v="11"/>
    <x v="9"/>
    <x v="0"/>
  </r>
  <r>
    <x v="4"/>
    <x v="1"/>
    <x v="2"/>
    <x v="3"/>
    <x v="415"/>
    <n v="10"/>
    <n v="300"/>
    <n v="407700"/>
    <n v="48924"/>
    <n v="358776"/>
    <n v="339750"/>
    <n v="19026"/>
    <x v="15"/>
    <n v="11"/>
    <x v="9"/>
    <x v="0"/>
  </r>
  <r>
    <x v="4"/>
    <x v="3"/>
    <x v="2"/>
    <x v="3"/>
    <x v="416"/>
    <n v="10"/>
    <n v="300"/>
    <n v="645000"/>
    <n v="77400"/>
    <n v="567600"/>
    <n v="537500"/>
    <n v="30100"/>
    <x v="15"/>
    <n v="11"/>
    <x v="9"/>
    <x v="0"/>
  </r>
  <r>
    <x v="0"/>
    <x v="3"/>
    <x v="2"/>
    <x v="3"/>
    <x v="417"/>
    <n v="10"/>
    <n v="350"/>
    <n v="418950"/>
    <n v="50274"/>
    <n v="368676"/>
    <n v="311220"/>
    <n v="57456"/>
    <x v="15"/>
    <n v="11"/>
    <x v="9"/>
    <x v="0"/>
  </r>
  <r>
    <x v="1"/>
    <x v="3"/>
    <x v="2"/>
    <x v="3"/>
    <x v="402"/>
    <n v="10"/>
    <n v="15"/>
    <n v="5700"/>
    <n v="684"/>
    <n v="5016"/>
    <n v="3800"/>
    <n v="1216"/>
    <x v="12"/>
    <n v="12"/>
    <x v="2"/>
    <x v="1"/>
  </r>
  <r>
    <x v="0"/>
    <x v="3"/>
    <x v="2"/>
    <x v="3"/>
    <x v="418"/>
    <n v="10"/>
    <n v="20"/>
    <n v="24660"/>
    <n v="2959.2"/>
    <n v="21700.799999999999"/>
    <n v="12330"/>
    <n v="9370.7999999999993"/>
    <x v="2"/>
    <n v="12"/>
    <x v="2"/>
    <x v="0"/>
  </r>
  <r>
    <x v="0"/>
    <x v="3"/>
    <x v="3"/>
    <x v="3"/>
    <x v="419"/>
    <n v="120"/>
    <n v="350"/>
    <n v="488250"/>
    <n v="58590"/>
    <n v="429660"/>
    <n v="362700"/>
    <n v="66960"/>
    <x v="4"/>
    <n v="7"/>
    <x v="4"/>
    <x v="0"/>
  </r>
  <r>
    <x v="0"/>
    <x v="4"/>
    <x v="3"/>
    <x v="3"/>
    <x v="75"/>
    <n v="120"/>
    <n v="350"/>
    <n v="345100"/>
    <n v="41412"/>
    <n v="303688"/>
    <n v="256360"/>
    <n v="47328"/>
    <x v="10"/>
    <n v="10"/>
    <x v="7"/>
    <x v="0"/>
  </r>
  <r>
    <x v="0"/>
    <x v="3"/>
    <x v="3"/>
    <x v="3"/>
    <x v="413"/>
    <n v="120"/>
    <n v="20"/>
    <n v="18100"/>
    <n v="2172"/>
    <n v="15928"/>
    <n v="9050"/>
    <n v="6878"/>
    <x v="10"/>
    <n v="10"/>
    <x v="7"/>
    <x v="0"/>
  </r>
  <r>
    <x v="2"/>
    <x v="0"/>
    <x v="4"/>
    <x v="3"/>
    <x v="420"/>
    <n v="250"/>
    <n v="12"/>
    <n v="25308"/>
    <n v="3036.96"/>
    <n v="22271.040000000001"/>
    <n v="6327"/>
    <n v="15944.04"/>
    <x v="14"/>
    <n v="5"/>
    <x v="11"/>
    <x v="0"/>
  </r>
  <r>
    <x v="1"/>
    <x v="2"/>
    <x v="4"/>
    <x v="3"/>
    <x v="421"/>
    <n v="250"/>
    <n v="15"/>
    <n v="58117.5"/>
    <n v="6974.0999999999995"/>
    <n v="51143.399999999994"/>
    <n v="38745"/>
    <n v="12398.399999999998"/>
    <x v="4"/>
    <n v="7"/>
    <x v="4"/>
    <x v="0"/>
  </r>
  <r>
    <x v="0"/>
    <x v="0"/>
    <x v="4"/>
    <x v="3"/>
    <x v="422"/>
    <n v="250"/>
    <n v="350"/>
    <n v="218050"/>
    <n v="26166"/>
    <n v="191884"/>
    <n v="161980"/>
    <n v="29904"/>
    <x v="9"/>
    <n v="9"/>
    <x v="6"/>
    <x v="1"/>
  </r>
  <r>
    <x v="0"/>
    <x v="4"/>
    <x v="4"/>
    <x v="3"/>
    <x v="75"/>
    <n v="250"/>
    <n v="350"/>
    <n v="345100"/>
    <n v="41412"/>
    <n v="303688"/>
    <n v="256360"/>
    <n v="47328"/>
    <x v="10"/>
    <n v="10"/>
    <x v="7"/>
    <x v="0"/>
  </r>
  <r>
    <x v="3"/>
    <x v="4"/>
    <x v="4"/>
    <x v="3"/>
    <x v="423"/>
    <n v="250"/>
    <n v="125"/>
    <n v="298375"/>
    <n v="35805"/>
    <n v="262570"/>
    <n v="286440"/>
    <n v="-23870"/>
    <x v="15"/>
    <n v="11"/>
    <x v="9"/>
    <x v="0"/>
  </r>
  <r>
    <x v="0"/>
    <x v="3"/>
    <x v="4"/>
    <x v="3"/>
    <x v="418"/>
    <n v="250"/>
    <n v="20"/>
    <n v="24660"/>
    <n v="2959.2"/>
    <n v="21700.799999999999"/>
    <n v="12330"/>
    <n v="9370.7999999999993"/>
    <x v="2"/>
    <n v="12"/>
    <x v="2"/>
    <x v="0"/>
  </r>
  <r>
    <x v="0"/>
    <x v="4"/>
    <x v="5"/>
    <x v="3"/>
    <x v="424"/>
    <n v="260"/>
    <n v="350"/>
    <n v="94500"/>
    <n v="11340"/>
    <n v="83160"/>
    <n v="70200"/>
    <n v="12960"/>
    <x v="8"/>
    <n v="2"/>
    <x v="8"/>
    <x v="0"/>
  </r>
  <r>
    <x v="0"/>
    <x v="2"/>
    <x v="5"/>
    <x v="3"/>
    <x v="425"/>
    <n v="260"/>
    <n v="7"/>
    <n v="23950.5"/>
    <n v="2874.06"/>
    <n v="21076.44"/>
    <n v="17107.5"/>
    <n v="3968.9399999999987"/>
    <x v="4"/>
    <n v="7"/>
    <x v="4"/>
    <x v="0"/>
  </r>
  <r>
    <x v="0"/>
    <x v="0"/>
    <x v="5"/>
    <x v="3"/>
    <x v="409"/>
    <n v="260"/>
    <n v="7"/>
    <n v="19138"/>
    <n v="2296.56"/>
    <n v="16841.439999999999"/>
    <n v="13670"/>
    <n v="3171.4399999999987"/>
    <x v="10"/>
    <n v="10"/>
    <x v="7"/>
    <x v="0"/>
  </r>
  <r>
    <x v="1"/>
    <x v="4"/>
    <x v="5"/>
    <x v="3"/>
    <x v="426"/>
    <n v="260"/>
    <n v="15"/>
    <n v="38220"/>
    <n v="4586.3999999999996"/>
    <n v="33633.599999999999"/>
    <n v="25480"/>
    <n v="8153.5999999999985"/>
    <x v="11"/>
    <n v="11"/>
    <x v="9"/>
    <x v="1"/>
  </r>
  <r>
    <x v="0"/>
    <x v="2"/>
    <x v="0"/>
    <x v="3"/>
    <x v="427"/>
    <n v="3"/>
    <n v="20"/>
    <n v="50430"/>
    <n v="6051.6"/>
    <n v="44378.399999999994"/>
    <n v="25215"/>
    <n v="19163.399999999998"/>
    <x v="0"/>
    <n v="1"/>
    <x v="0"/>
    <x v="0"/>
  </r>
  <r>
    <x v="2"/>
    <x v="3"/>
    <x v="1"/>
    <x v="3"/>
    <x v="428"/>
    <n v="5"/>
    <n v="12"/>
    <n v="31932"/>
    <n v="3831.84"/>
    <n v="28100.16"/>
    <n v="7983"/>
    <n v="20117.16"/>
    <x v="14"/>
    <n v="5"/>
    <x v="11"/>
    <x v="0"/>
  </r>
  <r>
    <x v="0"/>
    <x v="1"/>
    <x v="2"/>
    <x v="3"/>
    <x v="429"/>
    <n v="10"/>
    <n v="20"/>
    <n v="30620"/>
    <n v="3674.4"/>
    <n v="26945.599999999999"/>
    <n v="15310"/>
    <n v="11635.599999999999"/>
    <x v="2"/>
    <n v="12"/>
    <x v="2"/>
    <x v="0"/>
  </r>
  <r>
    <x v="0"/>
    <x v="2"/>
    <x v="4"/>
    <x v="3"/>
    <x v="430"/>
    <n v="250"/>
    <n v="7"/>
    <n v="10437"/>
    <n v="1252.44"/>
    <n v="9184.56"/>
    <n v="7455"/>
    <n v="1729.5599999999995"/>
    <x v="3"/>
    <n v="3"/>
    <x v="3"/>
    <x v="0"/>
  </r>
  <r>
    <x v="0"/>
    <x v="1"/>
    <x v="4"/>
    <x v="3"/>
    <x v="429"/>
    <n v="250"/>
    <n v="20"/>
    <n v="30620"/>
    <n v="3674.4"/>
    <n v="26945.599999999999"/>
    <n v="15310"/>
    <n v="11635.599999999999"/>
    <x v="2"/>
    <n v="12"/>
    <x v="2"/>
    <x v="0"/>
  </r>
  <r>
    <x v="2"/>
    <x v="0"/>
    <x v="5"/>
    <x v="3"/>
    <x v="431"/>
    <n v="260"/>
    <n v="12"/>
    <n v="33132"/>
    <n v="3975.84"/>
    <n v="29156.16"/>
    <n v="8283"/>
    <n v="20873.16"/>
    <x v="9"/>
    <n v="9"/>
    <x v="6"/>
    <x v="1"/>
  </r>
  <r>
    <x v="1"/>
    <x v="4"/>
    <x v="0"/>
    <x v="3"/>
    <x v="432"/>
    <n v="3"/>
    <n v="15"/>
    <n v="38505"/>
    <n v="5005.6499999999996"/>
    <n v="33499.35"/>
    <n v="25670"/>
    <n v="7829.3499999999985"/>
    <x v="1"/>
    <n v="6"/>
    <x v="1"/>
    <x v="0"/>
  </r>
  <r>
    <x v="1"/>
    <x v="4"/>
    <x v="4"/>
    <x v="3"/>
    <x v="432"/>
    <n v="250"/>
    <n v="15"/>
    <n v="38505"/>
    <n v="5005.6499999999996"/>
    <n v="33499.35"/>
    <n v="25670"/>
    <n v="7829.3499999999985"/>
    <x v="1"/>
    <n v="6"/>
    <x v="1"/>
    <x v="0"/>
  </r>
  <r>
    <x v="0"/>
    <x v="0"/>
    <x v="0"/>
    <x v="3"/>
    <x v="71"/>
    <n v="3"/>
    <n v="350"/>
    <n v="323050"/>
    <n v="41996.5"/>
    <n v="281053.5"/>
    <n v="239980"/>
    <n v="41073.5"/>
    <x v="3"/>
    <n v="3"/>
    <x v="3"/>
    <x v="0"/>
  </r>
  <r>
    <x v="0"/>
    <x v="2"/>
    <x v="0"/>
    <x v="3"/>
    <x v="433"/>
    <n v="3"/>
    <n v="350"/>
    <n v="626500"/>
    <n v="81445"/>
    <n v="545055"/>
    <n v="465400"/>
    <n v="79655"/>
    <x v="3"/>
    <n v="3"/>
    <x v="3"/>
    <x v="0"/>
  </r>
  <r>
    <x v="0"/>
    <x v="1"/>
    <x v="0"/>
    <x v="3"/>
    <x v="434"/>
    <n v="3"/>
    <n v="20"/>
    <n v="8840"/>
    <n v="1149.2"/>
    <n v="7690.8"/>
    <n v="4420"/>
    <n v="3270.8"/>
    <x v="9"/>
    <n v="9"/>
    <x v="6"/>
    <x v="1"/>
  </r>
  <r>
    <x v="0"/>
    <x v="4"/>
    <x v="1"/>
    <x v="3"/>
    <x v="435"/>
    <n v="5"/>
    <n v="350"/>
    <n v="343875"/>
    <n v="44703.75"/>
    <n v="299171.25"/>
    <n v="255450"/>
    <n v="43721.25"/>
    <x v="0"/>
    <n v="1"/>
    <x v="0"/>
    <x v="0"/>
  </r>
  <r>
    <x v="0"/>
    <x v="4"/>
    <x v="1"/>
    <x v="3"/>
    <x v="436"/>
    <n v="5"/>
    <n v="7"/>
    <n v="9086"/>
    <n v="1181.18"/>
    <n v="7904.82"/>
    <n v="6490"/>
    <n v="1414.8199999999997"/>
    <x v="8"/>
    <n v="2"/>
    <x v="8"/>
    <x v="0"/>
  </r>
  <r>
    <x v="2"/>
    <x v="3"/>
    <x v="1"/>
    <x v="3"/>
    <x v="437"/>
    <n v="5"/>
    <n v="12"/>
    <n v="7248"/>
    <n v="942.24"/>
    <n v="6305.76"/>
    <n v="1812"/>
    <n v="4493.76"/>
    <x v="1"/>
    <n v="6"/>
    <x v="1"/>
    <x v="0"/>
  </r>
  <r>
    <x v="0"/>
    <x v="3"/>
    <x v="1"/>
    <x v="3"/>
    <x v="438"/>
    <n v="5"/>
    <n v="20"/>
    <n v="45100"/>
    <n v="5863"/>
    <n v="39237"/>
    <n v="22550"/>
    <n v="16687"/>
    <x v="4"/>
    <n v="7"/>
    <x v="4"/>
    <x v="0"/>
  </r>
  <r>
    <x v="0"/>
    <x v="0"/>
    <x v="1"/>
    <x v="3"/>
    <x v="439"/>
    <n v="5"/>
    <n v="20"/>
    <n v="24980"/>
    <n v="3247.4"/>
    <n v="21732.6"/>
    <n v="12490"/>
    <n v="9242.5999999999985"/>
    <x v="10"/>
    <n v="10"/>
    <x v="7"/>
    <x v="0"/>
  </r>
  <r>
    <x v="0"/>
    <x v="4"/>
    <x v="2"/>
    <x v="3"/>
    <x v="440"/>
    <n v="10"/>
    <n v="7"/>
    <n v="10069.5"/>
    <n v="1309.0350000000001"/>
    <n v="8760.4650000000001"/>
    <n v="7192.5"/>
    <n v="1567.9649999999992"/>
    <x v="0"/>
    <n v="1"/>
    <x v="0"/>
    <x v="0"/>
  </r>
  <r>
    <x v="4"/>
    <x v="1"/>
    <x v="2"/>
    <x v="3"/>
    <x v="197"/>
    <n v="10"/>
    <n v="300"/>
    <n v="242100"/>
    <n v="31473"/>
    <n v="210627"/>
    <n v="201750"/>
    <n v="8877"/>
    <x v="0"/>
    <n v="1"/>
    <x v="0"/>
    <x v="0"/>
  </r>
  <r>
    <x v="0"/>
    <x v="4"/>
    <x v="2"/>
    <x v="3"/>
    <x v="441"/>
    <n v="10"/>
    <n v="20"/>
    <n v="52820"/>
    <n v="6866.6"/>
    <n v="45953.4"/>
    <n v="26410"/>
    <n v="19543.400000000001"/>
    <x v="8"/>
    <n v="2"/>
    <x v="8"/>
    <x v="0"/>
  </r>
  <r>
    <x v="0"/>
    <x v="1"/>
    <x v="2"/>
    <x v="3"/>
    <x v="442"/>
    <n v="10"/>
    <n v="20"/>
    <n v="54160"/>
    <n v="7040.8"/>
    <n v="47119.199999999997"/>
    <n v="27080"/>
    <n v="20039.199999999997"/>
    <x v="8"/>
    <n v="2"/>
    <x v="8"/>
    <x v="0"/>
  </r>
  <r>
    <x v="0"/>
    <x v="0"/>
    <x v="2"/>
    <x v="3"/>
    <x v="443"/>
    <n v="10"/>
    <n v="350"/>
    <n v="921200"/>
    <n v="119756"/>
    <n v="801444"/>
    <n v="684320"/>
    <n v="117124"/>
    <x v="1"/>
    <n v="6"/>
    <x v="1"/>
    <x v="0"/>
  </r>
  <r>
    <x v="3"/>
    <x v="0"/>
    <x v="2"/>
    <x v="3"/>
    <x v="444"/>
    <n v="10"/>
    <n v="125"/>
    <n v="197875"/>
    <n v="25723.75"/>
    <n v="172151.25"/>
    <n v="189960"/>
    <n v="-17808.75"/>
    <x v="1"/>
    <n v="6"/>
    <x v="1"/>
    <x v="0"/>
  </r>
  <r>
    <x v="2"/>
    <x v="3"/>
    <x v="2"/>
    <x v="3"/>
    <x v="445"/>
    <n v="10"/>
    <n v="12"/>
    <n v="6852"/>
    <n v="890.76"/>
    <n v="5961.24"/>
    <n v="1713"/>
    <n v="4248.24"/>
    <x v="4"/>
    <n v="7"/>
    <x v="4"/>
    <x v="0"/>
  </r>
  <r>
    <x v="0"/>
    <x v="2"/>
    <x v="2"/>
    <x v="3"/>
    <x v="446"/>
    <n v="10"/>
    <n v="7"/>
    <n v="18872"/>
    <n v="2453.36"/>
    <n v="16418.64"/>
    <n v="13480"/>
    <n v="2938.6399999999994"/>
    <x v="5"/>
    <n v="8"/>
    <x v="5"/>
    <x v="0"/>
  </r>
  <r>
    <x v="1"/>
    <x v="0"/>
    <x v="2"/>
    <x v="3"/>
    <x v="447"/>
    <n v="10"/>
    <n v="15"/>
    <n v="23475"/>
    <n v="3051.75"/>
    <n v="20423.25"/>
    <n v="15650"/>
    <n v="4773.25"/>
    <x v="10"/>
    <n v="10"/>
    <x v="7"/>
    <x v="0"/>
  </r>
  <r>
    <x v="0"/>
    <x v="0"/>
    <x v="2"/>
    <x v="3"/>
    <x v="439"/>
    <n v="10"/>
    <n v="20"/>
    <n v="24980"/>
    <n v="3247.4"/>
    <n v="21732.6"/>
    <n v="12490"/>
    <n v="9242.5999999999985"/>
    <x v="10"/>
    <n v="10"/>
    <x v="7"/>
    <x v="0"/>
  </r>
  <r>
    <x v="0"/>
    <x v="1"/>
    <x v="2"/>
    <x v="3"/>
    <x v="448"/>
    <n v="10"/>
    <n v="350"/>
    <n v="124950"/>
    <n v="16243.5"/>
    <n v="108706.5"/>
    <n v="92820"/>
    <n v="15886.5"/>
    <x v="15"/>
    <n v="11"/>
    <x v="9"/>
    <x v="0"/>
  </r>
  <r>
    <x v="2"/>
    <x v="1"/>
    <x v="2"/>
    <x v="3"/>
    <x v="449"/>
    <n v="10"/>
    <n v="12"/>
    <n v="12156"/>
    <n v="1580.28"/>
    <n v="10575.72"/>
    <n v="3039"/>
    <n v="7536.7199999999993"/>
    <x v="2"/>
    <n v="12"/>
    <x v="2"/>
    <x v="0"/>
  </r>
  <r>
    <x v="1"/>
    <x v="2"/>
    <x v="3"/>
    <x v="3"/>
    <x v="450"/>
    <n v="120"/>
    <n v="15"/>
    <n v="59962.5"/>
    <n v="7795.125"/>
    <n v="52167.375"/>
    <n v="39975"/>
    <n v="12192.375"/>
    <x v="0"/>
    <n v="1"/>
    <x v="0"/>
    <x v="0"/>
  </r>
  <r>
    <x v="0"/>
    <x v="0"/>
    <x v="3"/>
    <x v="3"/>
    <x v="443"/>
    <n v="120"/>
    <n v="350"/>
    <n v="921200"/>
    <n v="119756"/>
    <n v="801444"/>
    <n v="684320"/>
    <n v="117124"/>
    <x v="1"/>
    <n v="6"/>
    <x v="1"/>
    <x v="0"/>
  </r>
  <r>
    <x v="0"/>
    <x v="2"/>
    <x v="3"/>
    <x v="3"/>
    <x v="451"/>
    <n v="120"/>
    <n v="7"/>
    <n v="8330"/>
    <n v="1082.9000000000001"/>
    <n v="7247.1"/>
    <n v="5950"/>
    <n v="1297.1000000000004"/>
    <x v="1"/>
    <n v="6"/>
    <x v="1"/>
    <x v="0"/>
  </r>
  <r>
    <x v="2"/>
    <x v="3"/>
    <x v="3"/>
    <x v="3"/>
    <x v="437"/>
    <n v="120"/>
    <n v="12"/>
    <n v="7248"/>
    <n v="942.24"/>
    <n v="6305.76"/>
    <n v="1812"/>
    <n v="4493.76"/>
    <x v="1"/>
    <n v="6"/>
    <x v="1"/>
    <x v="0"/>
  </r>
  <r>
    <x v="1"/>
    <x v="1"/>
    <x v="3"/>
    <x v="3"/>
    <x v="452"/>
    <n v="120"/>
    <n v="15"/>
    <n v="9900"/>
    <n v="1287"/>
    <n v="8613"/>
    <n v="6600"/>
    <n v="2013"/>
    <x v="9"/>
    <n v="9"/>
    <x v="6"/>
    <x v="1"/>
  </r>
  <r>
    <x v="2"/>
    <x v="3"/>
    <x v="3"/>
    <x v="3"/>
    <x v="453"/>
    <n v="120"/>
    <n v="12"/>
    <n v="4920"/>
    <n v="639.6"/>
    <n v="4280.3999999999996"/>
    <n v="1230"/>
    <n v="3050.3999999999996"/>
    <x v="10"/>
    <n v="10"/>
    <x v="7"/>
    <x v="0"/>
  </r>
  <r>
    <x v="4"/>
    <x v="3"/>
    <x v="3"/>
    <x v="3"/>
    <x v="454"/>
    <n v="120"/>
    <n v="300"/>
    <n v="781500"/>
    <n v="101595"/>
    <n v="679905"/>
    <n v="651250"/>
    <n v="28655"/>
    <x v="11"/>
    <n v="11"/>
    <x v="9"/>
    <x v="1"/>
  </r>
  <r>
    <x v="2"/>
    <x v="1"/>
    <x v="3"/>
    <x v="3"/>
    <x v="449"/>
    <n v="120"/>
    <n v="12"/>
    <n v="12156"/>
    <n v="1580.28"/>
    <n v="10575.72"/>
    <n v="3039"/>
    <n v="7536.7199999999993"/>
    <x v="2"/>
    <n v="12"/>
    <x v="2"/>
    <x v="0"/>
  </r>
  <r>
    <x v="3"/>
    <x v="0"/>
    <x v="4"/>
    <x v="3"/>
    <x v="444"/>
    <n v="250"/>
    <n v="125"/>
    <n v="197875"/>
    <n v="25723.75"/>
    <n v="172151.25"/>
    <n v="189960"/>
    <n v="-17808.75"/>
    <x v="1"/>
    <n v="6"/>
    <x v="1"/>
    <x v="0"/>
  </r>
  <r>
    <x v="1"/>
    <x v="0"/>
    <x v="4"/>
    <x v="3"/>
    <x v="447"/>
    <n v="250"/>
    <n v="15"/>
    <n v="23475"/>
    <n v="3051.75"/>
    <n v="20423.25"/>
    <n v="15650"/>
    <n v="4773.25"/>
    <x v="10"/>
    <n v="10"/>
    <x v="7"/>
    <x v="0"/>
  </r>
  <r>
    <x v="3"/>
    <x v="0"/>
    <x v="5"/>
    <x v="3"/>
    <x v="255"/>
    <n v="260"/>
    <n v="125"/>
    <n v="207375"/>
    <n v="26958.75"/>
    <n v="180416.25"/>
    <n v="199080"/>
    <n v="-18663.75"/>
    <x v="0"/>
    <n v="1"/>
    <x v="0"/>
    <x v="0"/>
  </r>
  <r>
    <x v="0"/>
    <x v="2"/>
    <x v="5"/>
    <x v="3"/>
    <x v="451"/>
    <n v="260"/>
    <n v="7"/>
    <n v="8330"/>
    <n v="1082.9000000000001"/>
    <n v="7247.1"/>
    <n v="5950"/>
    <n v="1297.1000000000004"/>
    <x v="1"/>
    <n v="6"/>
    <x v="1"/>
    <x v="0"/>
  </r>
  <r>
    <x v="2"/>
    <x v="3"/>
    <x v="5"/>
    <x v="3"/>
    <x v="453"/>
    <n v="260"/>
    <n v="12"/>
    <n v="4920"/>
    <n v="639.6"/>
    <n v="4280.3999999999996"/>
    <n v="1230"/>
    <n v="3050.3999999999996"/>
    <x v="10"/>
    <n v="10"/>
    <x v="7"/>
    <x v="0"/>
  </r>
  <r>
    <x v="2"/>
    <x v="1"/>
    <x v="5"/>
    <x v="3"/>
    <x v="455"/>
    <n v="260"/>
    <n v="12"/>
    <n v="21240"/>
    <n v="2761.2"/>
    <n v="18478.8"/>
    <n v="5310"/>
    <n v="13168.8"/>
    <x v="12"/>
    <n v="12"/>
    <x v="2"/>
    <x v="1"/>
  </r>
  <r>
    <x v="0"/>
    <x v="3"/>
    <x v="0"/>
    <x v="3"/>
    <x v="456"/>
    <n v="3"/>
    <n v="20"/>
    <n v="51580"/>
    <n v="7221.2"/>
    <n v="44358.8"/>
    <n v="25790"/>
    <n v="18568.800000000003"/>
    <x v="13"/>
    <n v="4"/>
    <x v="10"/>
    <x v="0"/>
  </r>
  <r>
    <x v="0"/>
    <x v="4"/>
    <x v="0"/>
    <x v="3"/>
    <x v="228"/>
    <n v="3"/>
    <n v="20"/>
    <n v="34860"/>
    <n v="4880.3999999999996"/>
    <n v="29979.599999999999"/>
    <n v="17430"/>
    <n v="12549.599999999999"/>
    <x v="14"/>
    <n v="5"/>
    <x v="11"/>
    <x v="0"/>
  </r>
  <r>
    <x v="0"/>
    <x v="4"/>
    <x v="0"/>
    <x v="3"/>
    <x v="457"/>
    <n v="3"/>
    <n v="7"/>
    <n v="20972"/>
    <n v="2936.08"/>
    <n v="18035.919999999998"/>
    <n v="14980"/>
    <n v="3055.9199999999983"/>
    <x v="7"/>
    <n v="10"/>
    <x v="7"/>
    <x v="1"/>
  </r>
  <r>
    <x v="0"/>
    <x v="1"/>
    <x v="0"/>
    <x v="3"/>
    <x v="458"/>
    <n v="3"/>
    <n v="7"/>
    <n v="1960"/>
    <n v="274.39999999999998"/>
    <n v="1685.6"/>
    <n v="1400"/>
    <n v="285.59999999999991"/>
    <x v="2"/>
    <n v="12"/>
    <x v="2"/>
    <x v="0"/>
  </r>
  <r>
    <x v="0"/>
    <x v="2"/>
    <x v="1"/>
    <x v="3"/>
    <x v="459"/>
    <n v="5"/>
    <n v="7"/>
    <n v="2051"/>
    <n v="287.14"/>
    <n v="1763.8600000000001"/>
    <n v="1465"/>
    <n v="298.86000000000013"/>
    <x v="8"/>
    <n v="2"/>
    <x v="8"/>
    <x v="0"/>
  </r>
  <r>
    <x v="0"/>
    <x v="4"/>
    <x v="1"/>
    <x v="3"/>
    <x v="457"/>
    <n v="5"/>
    <n v="7"/>
    <n v="20972"/>
    <n v="2936.08"/>
    <n v="18035.919999999998"/>
    <n v="14980"/>
    <n v="3055.9199999999983"/>
    <x v="7"/>
    <n v="10"/>
    <x v="7"/>
    <x v="1"/>
  </r>
  <r>
    <x v="1"/>
    <x v="1"/>
    <x v="2"/>
    <x v="3"/>
    <x v="460"/>
    <n v="10"/>
    <n v="15"/>
    <n v="4170"/>
    <n v="583.79999999999995"/>
    <n v="3586.2"/>
    <n v="2780"/>
    <n v="806.19999999999982"/>
    <x v="8"/>
    <n v="2"/>
    <x v="8"/>
    <x v="0"/>
  </r>
  <r>
    <x v="0"/>
    <x v="0"/>
    <x v="2"/>
    <x v="3"/>
    <x v="461"/>
    <n v="10"/>
    <n v="20"/>
    <n v="48560"/>
    <n v="6798.4"/>
    <n v="41761.599999999999"/>
    <n v="24280"/>
    <n v="17481.599999999999"/>
    <x v="3"/>
    <n v="3"/>
    <x v="3"/>
    <x v="0"/>
  </r>
  <r>
    <x v="1"/>
    <x v="4"/>
    <x v="2"/>
    <x v="3"/>
    <x v="462"/>
    <n v="10"/>
    <n v="15"/>
    <n v="26505"/>
    <n v="3710.7"/>
    <n v="22794.3"/>
    <n v="17670"/>
    <n v="5124.2999999999993"/>
    <x v="6"/>
    <n v="9"/>
    <x v="6"/>
    <x v="0"/>
  </r>
  <r>
    <x v="2"/>
    <x v="2"/>
    <x v="2"/>
    <x v="3"/>
    <x v="463"/>
    <n v="10"/>
    <n v="12"/>
    <n v="16716"/>
    <n v="2340.2399999999998"/>
    <n v="14375.76"/>
    <n v="4179"/>
    <n v="10196.76"/>
    <x v="10"/>
    <n v="10"/>
    <x v="7"/>
    <x v="0"/>
  </r>
  <r>
    <x v="0"/>
    <x v="1"/>
    <x v="4"/>
    <x v="3"/>
    <x v="458"/>
    <n v="250"/>
    <n v="7"/>
    <n v="1960"/>
    <n v="274.39999999999998"/>
    <n v="1685.6"/>
    <n v="1400"/>
    <n v="285.59999999999991"/>
    <x v="2"/>
    <n v="12"/>
    <x v="2"/>
    <x v="0"/>
  </r>
  <r>
    <x v="2"/>
    <x v="2"/>
    <x v="5"/>
    <x v="3"/>
    <x v="463"/>
    <n v="260"/>
    <n v="12"/>
    <n v="16716"/>
    <n v="2340.2399999999998"/>
    <n v="14375.76"/>
    <n v="4179"/>
    <n v="10196.76"/>
    <x v="10"/>
    <n v="10"/>
    <x v="7"/>
    <x v="0"/>
  </r>
  <r>
    <x v="2"/>
    <x v="4"/>
    <x v="5"/>
    <x v="3"/>
    <x v="464"/>
    <n v="260"/>
    <n v="12"/>
    <n v="24180"/>
    <n v="3385.2"/>
    <n v="20794.8"/>
    <n v="6045"/>
    <n v="14749.8"/>
    <x v="12"/>
    <n v="12"/>
    <x v="2"/>
    <x v="1"/>
  </r>
  <r>
    <x v="4"/>
    <x v="3"/>
    <x v="0"/>
    <x v="3"/>
    <x v="465"/>
    <n v="3"/>
    <n v="300"/>
    <n v="240300"/>
    <n v="33642"/>
    <n v="206658"/>
    <n v="200250"/>
    <n v="6408"/>
    <x v="4"/>
    <n v="7"/>
    <x v="4"/>
    <x v="0"/>
  </r>
  <r>
    <x v="3"/>
    <x v="2"/>
    <x v="0"/>
    <x v="3"/>
    <x v="466"/>
    <n v="3"/>
    <n v="125"/>
    <n v="127875"/>
    <n v="17902.5"/>
    <n v="109972.5"/>
    <n v="122760"/>
    <n v="-12787.5"/>
    <x v="9"/>
    <n v="9"/>
    <x v="6"/>
    <x v="1"/>
  </r>
  <r>
    <x v="4"/>
    <x v="0"/>
    <x v="0"/>
    <x v="3"/>
    <x v="216"/>
    <n v="3"/>
    <n v="300"/>
    <n v="448800"/>
    <n v="62832"/>
    <n v="385968"/>
    <n v="374000"/>
    <n v="11968"/>
    <x v="10"/>
    <n v="10"/>
    <x v="7"/>
    <x v="0"/>
  </r>
  <r>
    <x v="4"/>
    <x v="4"/>
    <x v="0"/>
    <x v="3"/>
    <x v="467"/>
    <n v="3"/>
    <n v="300"/>
    <n v="303000"/>
    <n v="42420"/>
    <n v="260580"/>
    <n v="252500"/>
    <n v="8080"/>
    <x v="10"/>
    <n v="10"/>
    <x v="7"/>
    <x v="0"/>
  </r>
  <r>
    <x v="1"/>
    <x v="1"/>
    <x v="0"/>
    <x v="3"/>
    <x v="5"/>
    <n v="3"/>
    <n v="15"/>
    <n v="22695"/>
    <n v="3177.3"/>
    <n v="19517.7"/>
    <n v="15130"/>
    <n v="4387.7000000000007"/>
    <x v="15"/>
    <n v="11"/>
    <x v="9"/>
    <x v="0"/>
  </r>
  <r>
    <x v="1"/>
    <x v="0"/>
    <x v="0"/>
    <x v="3"/>
    <x v="468"/>
    <n v="3"/>
    <n v="15"/>
    <n v="34500"/>
    <n v="4830"/>
    <n v="29670"/>
    <n v="23000"/>
    <n v="6670"/>
    <x v="2"/>
    <n v="12"/>
    <x v="2"/>
    <x v="0"/>
  </r>
  <r>
    <x v="3"/>
    <x v="3"/>
    <x v="0"/>
    <x v="3"/>
    <x v="31"/>
    <n v="3"/>
    <n v="125"/>
    <n v="352625"/>
    <n v="49367.5"/>
    <n v="303257.5"/>
    <n v="338520"/>
    <n v="-35262.5"/>
    <x v="12"/>
    <n v="12"/>
    <x v="2"/>
    <x v="1"/>
  </r>
  <r>
    <x v="0"/>
    <x v="0"/>
    <x v="1"/>
    <x v="3"/>
    <x v="469"/>
    <n v="5"/>
    <n v="350"/>
    <n v="779625"/>
    <n v="109147.5"/>
    <n v="670477.5"/>
    <n v="579150"/>
    <n v="91327.5"/>
    <x v="0"/>
    <n v="1"/>
    <x v="0"/>
    <x v="0"/>
  </r>
  <r>
    <x v="0"/>
    <x v="1"/>
    <x v="1"/>
    <x v="3"/>
    <x v="470"/>
    <n v="5"/>
    <n v="350"/>
    <n v="419650"/>
    <n v="58751"/>
    <n v="360899"/>
    <n v="311740"/>
    <n v="49159"/>
    <x v="13"/>
    <n v="4"/>
    <x v="10"/>
    <x v="0"/>
  </r>
  <r>
    <x v="0"/>
    <x v="0"/>
    <x v="1"/>
    <x v="3"/>
    <x v="471"/>
    <n v="5"/>
    <n v="350"/>
    <n v="70000"/>
    <n v="9800"/>
    <n v="60200"/>
    <n v="52000"/>
    <n v="8200"/>
    <x v="14"/>
    <n v="5"/>
    <x v="11"/>
    <x v="0"/>
  </r>
  <r>
    <x v="0"/>
    <x v="0"/>
    <x v="1"/>
    <x v="3"/>
    <x v="472"/>
    <n v="5"/>
    <n v="7"/>
    <n v="2716"/>
    <n v="380.24"/>
    <n v="2335.7600000000002"/>
    <n v="1940"/>
    <n v="395.76000000000022"/>
    <x v="6"/>
    <n v="9"/>
    <x v="6"/>
    <x v="0"/>
  </r>
  <r>
    <x v="0"/>
    <x v="3"/>
    <x v="1"/>
    <x v="3"/>
    <x v="473"/>
    <n v="5"/>
    <n v="7"/>
    <n v="12089"/>
    <n v="1692.46"/>
    <n v="10396.540000000001"/>
    <n v="8635"/>
    <n v="1761.5400000000009"/>
    <x v="7"/>
    <n v="10"/>
    <x v="7"/>
    <x v="1"/>
  </r>
  <r>
    <x v="1"/>
    <x v="0"/>
    <x v="1"/>
    <x v="3"/>
    <x v="468"/>
    <n v="5"/>
    <n v="15"/>
    <n v="34500"/>
    <n v="4830"/>
    <n v="29670"/>
    <n v="23000"/>
    <n v="6670"/>
    <x v="2"/>
    <n v="12"/>
    <x v="2"/>
    <x v="0"/>
  </r>
  <r>
    <x v="0"/>
    <x v="3"/>
    <x v="2"/>
    <x v="3"/>
    <x v="474"/>
    <n v="10"/>
    <n v="20"/>
    <n v="5200"/>
    <n v="728"/>
    <n v="4472"/>
    <n v="2600"/>
    <n v="1872"/>
    <x v="8"/>
    <n v="2"/>
    <x v="8"/>
    <x v="0"/>
  </r>
  <r>
    <x v="1"/>
    <x v="0"/>
    <x v="2"/>
    <x v="3"/>
    <x v="4"/>
    <n v="10"/>
    <n v="15"/>
    <n v="37050"/>
    <n v="5187"/>
    <n v="31863"/>
    <n v="24700"/>
    <n v="7163"/>
    <x v="9"/>
    <n v="9"/>
    <x v="6"/>
    <x v="1"/>
  </r>
  <r>
    <x v="1"/>
    <x v="0"/>
    <x v="2"/>
    <x v="3"/>
    <x v="228"/>
    <n v="10"/>
    <n v="15"/>
    <n v="26145"/>
    <n v="3660.3"/>
    <n v="22484.7"/>
    <n v="17430"/>
    <n v="5054.7000000000007"/>
    <x v="7"/>
    <n v="10"/>
    <x v="7"/>
    <x v="1"/>
  </r>
  <r>
    <x v="2"/>
    <x v="4"/>
    <x v="2"/>
    <x v="3"/>
    <x v="475"/>
    <n v="10"/>
    <n v="12"/>
    <n v="34968"/>
    <n v="4895.5200000000004"/>
    <n v="30072.48"/>
    <n v="8742"/>
    <n v="21330.48"/>
    <x v="10"/>
    <n v="10"/>
    <x v="7"/>
    <x v="0"/>
  </r>
  <r>
    <x v="0"/>
    <x v="2"/>
    <x v="2"/>
    <x v="3"/>
    <x v="476"/>
    <n v="10"/>
    <n v="7"/>
    <n v="12117"/>
    <n v="1696.38"/>
    <n v="10420.619999999999"/>
    <n v="8655"/>
    <n v="1765.619999999999"/>
    <x v="10"/>
    <n v="10"/>
    <x v="7"/>
    <x v="0"/>
  </r>
  <r>
    <x v="0"/>
    <x v="0"/>
    <x v="2"/>
    <x v="3"/>
    <x v="477"/>
    <n v="10"/>
    <n v="350"/>
    <n v="245000"/>
    <n v="34300"/>
    <n v="210700"/>
    <n v="182000"/>
    <n v="28700"/>
    <x v="15"/>
    <n v="11"/>
    <x v="9"/>
    <x v="0"/>
  </r>
  <r>
    <x v="2"/>
    <x v="0"/>
    <x v="2"/>
    <x v="3"/>
    <x v="478"/>
    <n v="10"/>
    <n v="12"/>
    <n v="26664"/>
    <n v="3732.96"/>
    <n v="22931.040000000001"/>
    <n v="6666"/>
    <n v="16265.04"/>
    <x v="11"/>
    <n v="11"/>
    <x v="9"/>
    <x v="1"/>
  </r>
  <r>
    <x v="0"/>
    <x v="4"/>
    <x v="2"/>
    <x v="3"/>
    <x v="479"/>
    <n v="10"/>
    <n v="350"/>
    <n v="411950"/>
    <n v="57673"/>
    <n v="354277"/>
    <n v="306020"/>
    <n v="48257"/>
    <x v="15"/>
    <n v="11"/>
    <x v="9"/>
    <x v="0"/>
  </r>
  <r>
    <x v="0"/>
    <x v="2"/>
    <x v="2"/>
    <x v="3"/>
    <x v="480"/>
    <n v="10"/>
    <n v="350"/>
    <n v="672700"/>
    <n v="94178"/>
    <n v="578522"/>
    <n v="499720"/>
    <n v="78802"/>
    <x v="11"/>
    <n v="11"/>
    <x v="9"/>
    <x v="1"/>
  </r>
  <r>
    <x v="3"/>
    <x v="3"/>
    <x v="3"/>
    <x v="3"/>
    <x v="481"/>
    <n v="120"/>
    <n v="125"/>
    <n v="196875"/>
    <n v="27562.5"/>
    <n v="169312.5"/>
    <n v="189000"/>
    <n v="-19687.5"/>
    <x v="8"/>
    <n v="2"/>
    <x v="8"/>
    <x v="0"/>
  </r>
  <r>
    <x v="0"/>
    <x v="4"/>
    <x v="3"/>
    <x v="3"/>
    <x v="482"/>
    <n v="120"/>
    <n v="20"/>
    <n v="12120"/>
    <n v="1696.8000000000002"/>
    <n v="10423.200000000001"/>
    <n v="6060"/>
    <n v="4363.2000000000007"/>
    <x v="13"/>
    <n v="4"/>
    <x v="10"/>
    <x v="0"/>
  </r>
  <r>
    <x v="4"/>
    <x v="4"/>
    <x v="3"/>
    <x v="3"/>
    <x v="283"/>
    <n v="120"/>
    <n v="300"/>
    <n v="738000"/>
    <n v="103320"/>
    <n v="634680"/>
    <n v="615000"/>
    <n v="19680"/>
    <x v="4"/>
    <n v="7"/>
    <x v="4"/>
    <x v="0"/>
  </r>
  <r>
    <x v="4"/>
    <x v="0"/>
    <x v="3"/>
    <x v="3"/>
    <x v="483"/>
    <n v="120"/>
    <n v="300"/>
    <n v="80700"/>
    <n v="11298"/>
    <n v="69402"/>
    <n v="67250"/>
    <n v="2152"/>
    <x v="7"/>
    <n v="10"/>
    <x v="7"/>
    <x v="1"/>
  </r>
  <r>
    <x v="4"/>
    <x v="1"/>
    <x v="3"/>
    <x v="3"/>
    <x v="484"/>
    <n v="120"/>
    <n v="300"/>
    <n v="760800"/>
    <n v="106512"/>
    <n v="654288"/>
    <n v="634000"/>
    <n v="20288"/>
    <x v="11"/>
    <n v="11"/>
    <x v="9"/>
    <x v="1"/>
  </r>
  <r>
    <x v="0"/>
    <x v="3"/>
    <x v="4"/>
    <x v="3"/>
    <x v="485"/>
    <n v="250"/>
    <n v="7"/>
    <n v="20321"/>
    <n v="2844.94"/>
    <n v="17476.060000000001"/>
    <n v="14515"/>
    <n v="2961.0600000000013"/>
    <x v="3"/>
    <n v="3"/>
    <x v="3"/>
    <x v="0"/>
  </r>
  <r>
    <x v="4"/>
    <x v="4"/>
    <x v="4"/>
    <x v="3"/>
    <x v="486"/>
    <n v="250"/>
    <n v="300"/>
    <n v="762300"/>
    <n v="106722"/>
    <n v="655578"/>
    <n v="635250"/>
    <n v="20328"/>
    <x v="5"/>
    <n v="8"/>
    <x v="5"/>
    <x v="0"/>
  </r>
  <r>
    <x v="4"/>
    <x v="0"/>
    <x v="4"/>
    <x v="3"/>
    <x v="483"/>
    <n v="250"/>
    <n v="300"/>
    <n v="80700"/>
    <n v="11298"/>
    <n v="69402"/>
    <n v="67250"/>
    <n v="2152"/>
    <x v="7"/>
    <n v="10"/>
    <x v="7"/>
    <x v="1"/>
  </r>
  <r>
    <x v="4"/>
    <x v="0"/>
    <x v="4"/>
    <x v="3"/>
    <x v="216"/>
    <n v="250"/>
    <n v="300"/>
    <n v="448800"/>
    <n v="62832"/>
    <n v="385968"/>
    <n v="374000"/>
    <n v="11968"/>
    <x v="10"/>
    <n v="10"/>
    <x v="7"/>
    <x v="0"/>
  </r>
  <r>
    <x v="4"/>
    <x v="4"/>
    <x v="4"/>
    <x v="3"/>
    <x v="467"/>
    <n v="250"/>
    <n v="300"/>
    <n v="303000"/>
    <n v="42420"/>
    <n v="260580"/>
    <n v="252500"/>
    <n v="8080"/>
    <x v="10"/>
    <n v="10"/>
    <x v="7"/>
    <x v="0"/>
  </r>
  <r>
    <x v="0"/>
    <x v="2"/>
    <x v="4"/>
    <x v="3"/>
    <x v="487"/>
    <n v="250"/>
    <n v="350"/>
    <n v="448350"/>
    <n v="62769"/>
    <n v="385581"/>
    <n v="333060"/>
    <n v="52521"/>
    <x v="12"/>
    <n v="12"/>
    <x v="2"/>
    <x v="1"/>
  </r>
  <r>
    <x v="4"/>
    <x v="0"/>
    <x v="5"/>
    <x v="3"/>
    <x v="3"/>
    <n v="260"/>
    <n v="300"/>
    <n v="266400"/>
    <n v="37296"/>
    <n v="229104"/>
    <n v="222000"/>
    <n v="7104"/>
    <x v="3"/>
    <n v="3"/>
    <x v="3"/>
    <x v="0"/>
  </r>
  <r>
    <x v="3"/>
    <x v="4"/>
    <x v="5"/>
    <x v="3"/>
    <x v="126"/>
    <n v="260"/>
    <n v="125"/>
    <n v="355500"/>
    <n v="49770"/>
    <n v="305730"/>
    <n v="341280"/>
    <n v="-35550"/>
    <x v="14"/>
    <n v="5"/>
    <x v="11"/>
    <x v="0"/>
  </r>
  <r>
    <x v="2"/>
    <x v="2"/>
    <x v="5"/>
    <x v="3"/>
    <x v="488"/>
    <n v="260"/>
    <n v="12"/>
    <n v="29700"/>
    <n v="4158"/>
    <n v="25542"/>
    <n v="7425"/>
    <n v="18117"/>
    <x v="5"/>
    <n v="8"/>
    <x v="5"/>
    <x v="0"/>
  </r>
  <r>
    <x v="1"/>
    <x v="0"/>
    <x v="5"/>
    <x v="3"/>
    <x v="228"/>
    <n v="260"/>
    <n v="15"/>
    <n v="26145"/>
    <n v="3660.3"/>
    <n v="22484.7"/>
    <n v="17430"/>
    <n v="5054.7000000000007"/>
    <x v="7"/>
    <n v="10"/>
    <x v="7"/>
    <x v="1"/>
  </r>
  <r>
    <x v="2"/>
    <x v="4"/>
    <x v="5"/>
    <x v="3"/>
    <x v="475"/>
    <n v="260"/>
    <n v="12"/>
    <n v="34968"/>
    <n v="4895.5200000000004"/>
    <n v="30072.48"/>
    <n v="8742"/>
    <n v="21330.48"/>
    <x v="10"/>
    <n v="10"/>
    <x v="7"/>
    <x v="0"/>
  </r>
  <r>
    <x v="0"/>
    <x v="2"/>
    <x v="5"/>
    <x v="3"/>
    <x v="476"/>
    <n v="260"/>
    <n v="7"/>
    <n v="12117"/>
    <n v="1696.38"/>
    <n v="10420.619999999999"/>
    <n v="8655"/>
    <n v="1765.619999999999"/>
    <x v="10"/>
    <n v="10"/>
    <x v="7"/>
    <x v="0"/>
  </r>
  <r>
    <x v="0"/>
    <x v="3"/>
    <x v="5"/>
    <x v="3"/>
    <x v="473"/>
    <n v="260"/>
    <n v="7"/>
    <n v="12089"/>
    <n v="1692.46"/>
    <n v="10396.540000000001"/>
    <n v="8635"/>
    <n v="1761.5400000000009"/>
    <x v="7"/>
    <n v="10"/>
    <x v="7"/>
    <x v="1"/>
  </r>
  <r>
    <x v="1"/>
    <x v="3"/>
    <x v="5"/>
    <x v="3"/>
    <x v="364"/>
    <n v="260"/>
    <n v="15"/>
    <n v="28050"/>
    <n v="3927"/>
    <n v="24123"/>
    <n v="18700"/>
    <n v="5423"/>
    <x v="11"/>
    <n v="11"/>
    <x v="9"/>
    <x v="1"/>
  </r>
  <r>
    <x v="3"/>
    <x v="2"/>
    <x v="0"/>
    <x v="3"/>
    <x v="489"/>
    <n v="3"/>
    <n v="125"/>
    <n v="146750"/>
    <n v="22012.5"/>
    <n v="124737.5"/>
    <n v="140880"/>
    <n v="-16142.5"/>
    <x v="5"/>
    <n v="8"/>
    <x v="5"/>
    <x v="0"/>
  </r>
  <r>
    <x v="3"/>
    <x v="1"/>
    <x v="0"/>
    <x v="3"/>
    <x v="490"/>
    <n v="3"/>
    <n v="125"/>
    <n v="345875"/>
    <n v="51881.25"/>
    <n v="293993.75"/>
    <n v="332040"/>
    <n v="-38046.25"/>
    <x v="5"/>
    <n v="8"/>
    <x v="5"/>
    <x v="0"/>
  </r>
  <r>
    <x v="3"/>
    <x v="1"/>
    <x v="0"/>
    <x v="3"/>
    <x v="491"/>
    <n v="3"/>
    <n v="125"/>
    <n v="135625"/>
    <n v="20343.75"/>
    <n v="115281.25"/>
    <n v="130200"/>
    <n v="-14918.75"/>
    <x v="10"/>
    <n v="10"/>
    <x v="7"/>
    <x v="0"/>
  </r>
  <r>
    <x v="4"/>
    <x v="3"/>
    <x v="1"/>
    <x v="3"/>
    <x v="492"/>
    <n v="5"/>
    <n v="300"/>
    <n v="163800"/>
    <n v="24570"/>
    <n v="139230"/>
    <n v="136500"/>
    <n v="2730"/>
    <x v="10"/>
    <n v="10"/>
    <x v="7"/>
    <x v="0"/>
  </r>
  <r>
    <x v="0"/>
    <x v="1"/>
    <x v="2"/>
    <x v="3"/>
    <x v="493"/>
    <n v="10"/>
    <n v="20"/>
    <n v="23160"/>
    <n v="3474"/>
    <n v="19686"/>
    <n v="11580"/>
    <n v="8106"/>
    <x v="3"/>
    <n v="3"/>
    <x v="3"/>
    <x v="0"/>
  </r>
  <r>
    <x v="1"/>
    <x v="0"/>
    <x v="2"/>
    <x v="3"/>
    <x v="494"/>
    <n v="10"/>
    <n v="15"/>
    <n v="24210"/>
    <n v="3631.5"/>
    <n v="20578.5"/>
    <n v="16140"/>
    <n v="4438.5"/>
    <x v="13"/>
    <n v="4"/>
    <x v="10"/>
    <x v="0"/>
  </r>
  <r>
    <x v="0"/>
    <x v="3"/>
    <x v="2"/>
    <x v="3"/>
    <x v="495"/>
    <n v="10"/>
    <n v="7"/>
    <n v="17745"/>
    <n v="2661.75"/>
    <n v="15083.25"/>
    <n v="12675"/>
    <n v="2408.25"/>
    <x v="13"/>
    <n v="4"/>
    <x v="10"/>
    <x v="0"/>
  </r>
  <r>
    <x v="0"/>
    <x v="3"/>
    <x v="2"/>
    <x v="3"/>
    <x v="136"/>
    <n v="10"/>
    <n v="350"/>
    <n v="997850"/>
    <n v="149677.5"/>
    <n v="848172.5"/>
    <n v="741260"/>
    <n v="106912.5"/>
    <x v="14"/>
    <n v="5"/>
    <x v="11"/>
    <x v="0"/>
  </r>
  <r>
    <x v="1"/>
    <x v="0"/>
    <x v="2"/>
    <x v="3"/>
    <x v="496"/>
    <n v="10"/>
    <n v="15"/>
    <n v="38385"/>
    <n v="5757.75"/>
    <n v="32627.25"/>
    <n v="25590"/>
    <n v="7037.25"/>
    <x v="5"/>
    <n v="8"/>
    <x v="5"/>
    <x v="0"/>
  </r>
  <r>
    <x v="0"/>
    <x v="4"/>
    <x v="2"/>
    <x v="3"/>
    <x v="497"/>
    <n v="10"/>
    <n v="20"/>
    <n v="5340"/>
    <n v="801"/>
    <n v="4539"/>
    <n v="2670"/>
    <n v="1869"/>
    <x v="7"/>
    <n v="10"/>
    <x v="7"/>
    <x v="1"/>
  </r>
  <r>
    <x v="3"/>
    <x v="1"/>
    <x v="2"/>
    <x v="3"/>
    <x v="491"/>
    <n v="10"/>
    <n v="125"/>
    <n v="135625"/>
    <n v="20343.75"/>
    <n v="115281.25"/>
    <n v="130200"/>
    <n v="-14918.75"/>
    <x v="10"/>
    <n v="10"/>
    <x v="7"/>
    <x v="0"/>
  </r>
  <r>
    <x v="1"/>
    <x v="1"/>
    <x v="2"/>
    <x v="3"/>
    <x v="498"/>
    <n v="10"/>
    <n v="15"/>
    <n v="17625"/>
    <n v="2643.75"/>
    <n v="14981.25"/>
    <n v="11750"/>
    <n v="3231.25"/>
    <x v="10"/>
    <n v="10"/>
    <x v="7"/>
    <x v="0"/>
  </r>
  <r>
    <x v="0"/>
    <x v="4"/>
    <x v="2"/>
    <x v="3"/>
    <x v="499"/>
    <n v="10"/>
    <n v="350"/>
    <n v="702450"/>
    <n v="105367.5"/>
    <n v="597082.5"/>
    <n v="521820"/>
    <n v="75262.5"/>
    <x v="11"/>
    <n v="11"/>
    <x v="9"/>
    <x v="1"/>
  </r>
  <r>
    <x v="0"/>
    <x v="3"/>
    <x v="2"/>
    <x v="3"/>
    <x v="35"/>
    <n v="10"/>
    <n v="350"/>
    <n v="752850"/>
    <n v="112927.5"/>
    <n v="639922.5"/>
    <n v="559260"/>
    <n v="80662.5"/>
    <x v="11"/>
    <n v="11"/>
    <x v="9"/>
    <x v="1"/>
  </r>
  <r>
    <x v="2"/>
    <x v="4"/>
    <x v="2"/>
    <x v="3"/>
    <x v="500"/>
    <n v="10"/>
    <n v="12"/>
    <n v="10968"/>
    <n v="1645.2"/>
    <n v="9322.7999999999993"/>
    <n v="2742"/>
    <n v="6580.7999999999993"/>
    <x v="2"/>
    <n v="12"/>
    <x v="2"/>
    <x v="0"/>
  </r>
  <r>
    <x v="0"/>
    <x v="2"/>
    <x v="2"/>
    <x v="3"/>
    <x v="459"/>
    <n v="10"/>
    <n v="20"/>
    <n v="5860"/>
    <n v="879"/>
    <n v="4981"/>
    <n v="2930"/>
    <n v="2051"/>
    <x v="2"/>
    <n v="12"/>
    <x v="2"/>
    <x v="0"/>
  </r>
  <r>
    <x v="2"/>
    <x v="3"/>
    <x v="3"/>
    <x v="3"/>
    <x v="501"/>
    <n v="120"/>
    <n v="12"/>
    <n v="6000"/>
    <n v="900"/>
    <n v="5100"/>
    <n v="1500"/>
    <n v="3600"/>
    <x v="3"/>
    <n v="3"/>
    <x v="3"/>
    <x v="0"/>
  </r>
  <r>
    <x v="1"/>
    <x v="2"/>
    <x v="3"/>
    <x v="3"/>
    <x v="502"/>
    <n v="120"/>
    <n v="15"/>
    <n v="42390"/>
    <n v="6358.5"/>
    <n v="36031.5"/>
    <n v="28260"/>
    <n v="7771.5"/>
    <x v="14"/>
    <n v="5"/>
    <x v="11"/>
    <x v="0"/>
  </r>
  <r>
    <x v="3"/>
    <x v="2"/>
    <x v="3"/>
    <x v="3"/>
    <x v="61"/>
    <n v="120"/>
    <n v="125"/>
    <n v="82875"/>
    <n v="12431.25"/>
    <n v="70443.75"/>
    <n v="79560"/>
    <n v="-9116.25"/>
    <x v="6"/>
    <n v="9"/>
    <x v="6"/>
    <x v="0"/>
  </r>
  <r>
    <x v="4"/>
    <x v="4"/>
    <x v="3"/>
    <x v="3"/>
    <x v="369"/>
    <n v="120"/>
    <n v="300"/>
    <n v="772200"/>
    <n v="115830"/>
    <n v="656370"/>
    <n v="643500"/>
    <n v="12870"/>
    <x v="11"/>
    <n v="11"/>
    <x v="9"/>
    <x v="1"/>
  </r>
  <r>
    <x v="3"/>
    <x v="4"/>
    <x v="3"/>
    <x v="3"/>
    <x v="503"/>
    <n v="120"/>
    <n v="125"/>
    <n v="304750"/>
    <n v="45712.5"/>
    <n v="259037.5"/>
    <n v="292560"/>
    <n v="-33522.5"/>
    <x v="12"/>
    <n v="12"/>
    <x v="2"/>
    <x v="1"/>
  </r>
  <r>
    <x v="2"/>
    <x v="4"/>
    <x v="3"/>
    <x v="3"/>
    <x v="500"/>
    <n v="120"/>
    <n v="12"/>
    <n v="10968"/>
    <n v="1645.2"/>
    <n v="9322.7999999999993"/>
    <n v="2742"/>
    <n v="6580.7999999999993"/>
    <x v="2"/>
    <n v="12"/>
    <x v="2"/>
    <x v="0"/>
  </r>
  <r>
    <x v="0"/>
    <x v="0"/>
    <x v="4"/>
    <x v="3"/>
    <x v="504"/>
    <n v="250"/>
    <n v="20"/>
    <n v="17310"/>
    <n v="2596.5"/>
    <n v="14713.5"/>
    <n v="8655"/>
    <n v="6058.5"/>
    <x v="4"/>
    <n v="7"/>
    <x v="4"/>
    <x v="0"/>
  </r>
  <r>
    <x v="1"/>
    <x v="1"/>
    <x v="4"/>
    <x v="3"/>
    <x v="505"/>
    <n v="250"/>
    <n v="15"/>
    <n v="7380"/>
    <n v="1107"/>
    <n v="6273"/>
    <n v="4920"/>
    <n v="1353"/>
    <x v="4"/>
    <n v="7"/>
    <x v="4"/>
    <x v="0"/>
  </r>
  <r>
    <x v="0"/>
    <x v="4"/>
    <x v="4"/>
    <x v="3"/>
    <x v="497"/>
    <n v="250"/>
    <n v="20"/>
    <n v="5340"/>
    <n v="801"/>
    <n v="4539"/>
    <n v="2670"/>
    <n v="1869"/>
    <x v="7"/>
    <n v="10"/>
    <x v="7"/>
    <x v="1"/>
  </r>
  <r>
    <x v="1"/>
    <x v="1"/>
    <x v="4"/>
    <x v="3"/>
    <x v="498"/>
    <n v="250"/>
    <n v="15"/>
    <n v="17625"/>
    <n v="2643.75"/>
    <n v="14981.25"/>
    <n v="11750"/>
    <n v="3231.25"/>
    <x v="10"/>
    <n v="10"/>
    <x v="7"/>
    <x v="0"/>
  </r>
  <r>
    <x v="3"/>
    <x v="0"/>
    <x v="4"/>
    <x v="3"/>
    <x v="506"/>
    <n v="250"/>
    <n v="125"/>
    <n v="369250"/>
    <n v="55387.5"/>
    <n v="313862.5"/>
    <n v="354480"/>
    <n v="-40617.5"/>
    <x v="11"/>
    <n v="11"/>
    <x v="9"/>
    <x v="1"/>
  </r>
  <r>
    <x v="3"/>
    <x v="1"/>
    <x v="4"/>
    <x v="3"/>
    <x v="205"/>
    <n v="250"/>
    <n v="125"/>
    <n v="69000"/>
    <n v="10350"/>
    <n v="58650"/>
    <n v="66240"/>
    <n v="-7590"/>
    <x v="15"/>
    <n v="11"/>
    <x v="9"/>
    <x v="0"/>
  </r>
  <r>
    <x v="0"/>
    <x v="2"/>
    <x v="4"/>
    <x v="3"/>
    <x v="459"/>
    <n v="250"/>
    <n v="20"/>
    <n v="5860"/>
    <n v="879"/>
    <n v="4981"/>
    <n v="2930"/>
    <n v="2051"/>
    <x v="2"/>
    <n v="12"/>
    <x v="2"/>
    <x v="0"/>
  </r>
  <r>
    <x v="4"/>
    <x v="2"/>
    <x v="5"/>
    <x v="3"/>
    <x v="488"/>
    <n v="260"/>
    <n v="300"/>
    <n v="742500"/>
    <n v="111375"/>
    <n v="631125"/>
    <n v="618750"/>
    <n v="12375"/>
    <x v="3"/>
    <n v="3"/>
    <x v="3"/>
    <x v="0"/>
  </r>
  <r>
    <x v="4"/>
    <x v="3"/>
    <x v="5"/>
    <x v="3"/>
    <x v="492"/>
    <n v="260"/>
    <n v="300"/>
    <n v="163800"/>
    <n v="24570"/>
    <n v="139230"/>
    <n v="136500"/>
    <n v="2730"/>
    <x v="10"/>
    <n v="10"/>
    <x v="7"/>
    <x v="0"/>
  </r>
  <r>
    <x v="0"/>
    <x v="3"/>
    <x v="1"/>
    <x v="3"/>
    <x v="507"/>
    <n v="5"/>
    <n v="7"/>
    <n v="9576"/>
    <n v="1436.4"/>
    <n v="8139.6"/>
    <n v="6840"/>
    <n v="1299.6000000000004"/>
    <x v="8"/>
    <n v="2"/>
    <x v="8"/>
    <x v="0"/>
  </r>
  <r>
    <x v="0"/>
    <x v="0"/>
    <x v="2"/>
    <x v="3"/>
    <x v="508"/>
    <n v="10"/>
    <n v="7"/>
    <n v="5061"/>
    <n v="759.15000000000009"/>
    <n v="4301.8500000000004"/>
    <n v="3615"/>
    <n v="686.85000000000014"/>
    <x v="13"/>
    <n v="4"/>
    <x v="10"/>
    <x v="0"/>
  </r>
  <r>
    <x v="2"/>
    <x v="4"/>
    <x v="4"/>
    <x v="3"/>
    <x v="509"/>
    <n v="250"/>
    <n v="12"/>
    <n v="21672"/>
    <n v="3250.8"/>
    <n v="18421.2"/>
    <n v="5418"/>
    <n v="13003.2"/>
    <x v="14"/>
    <n v="5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C9" firstHeaderRow="0" firstDataRow="1" firstDataCol="1"/>
  <pivotFields count="18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dataField="1" numFmtId="16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"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Sales" fld="9" baseField="0" baseItem="0"/>
    <dataField name="Sum of Profit" fld="11" baseField="0" baseItem="0"/>
  </dataFields>
  <chartFormats count="1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G10" firstHeaderRow="1" firstDataRow="2" firstDataCol="1"/>
  <pivotFields count="18">
    <pivotField axis="axisRow" showAll="0">
      <items count="6">
        <item x="2"/>
        <item x="3"/>
        <item x="0"/>
        <item x="1"/>
        <item x="4"/>
        <item t="default"/>
      </items>
    </pivotField>
    <pivotField axis="axisCol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"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 Sales" fld="9" showDataAs="percentOfCol" baseField="0" baseItem="0" numFmtId="10"/>
  </dataFields>
  <chartFormats count="5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E9" firstHeaderRow="0" firstDataRow="1" firstDataCol="1"/>
  <pivotFields count="18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"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 Price" fld="6" baseField="0" baseItem="0"/>
    <dataField name="Sum of  Sales" fld="9" baseField="0" baseItem="0"/>
    <dataField name="Sum of COGS" fld="10" baseField="0" baseItem="0"/>
    <dataField name="Sum of Profit" fld="11" baseField="0" baseItem="0"/>
  </dataFields>
  <formats count="2"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</formats>
  <chartFormats count="4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1">
  <location ref="A3:E9" firstHeaderRow="1" firstDataRow="2" firstDataCol="1"/>
  <pivotFields count="18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>
      <items count="7">
        <item x="5"/>
        <item x="0"/>
        <item x="1"/>
        <item x="2"/>
        <item x="3"/>
        <item x="4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dataField="1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"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 of Units Sold" fld="4" baseField="0" baseItem="0"/>
  </dataFields>
  <chartFormats count="4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C19" firstHeaderRow="0" firstDataRow="1" firstDataCol="1"/>
  <pivotFields count="18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" showAll="0"/>
    <pivotField showAll="0"/>
    <pivotField axis="axisRow" showAll="0">
      <items count="3">
        <item x="1"/>
        <item x="0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2">
    <field x="1"/>
    <field x="15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1" baseField="0" baseItem="0"/>
    <dataField name="Sum of Units Sold" fld="4" baseField="0" baseItem="0"/>
  </dataFields>
  <chartFormats count="4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D19" firstHeaderRow="0" firstDataRow="1" firstDataCol="1"/>
  <pivotFields count="18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>
      <items count="511">
        <item x="471"/>
        <item x="81"/>
        <item x="148"/>
        <item x="352"/>
        <item x="318"/>
        <item x="269"/>
        <item x="105"/>
        <item x="474"/>
        <item x="73"/>
        <item x="103"/>
        <item x="497"/>
        <item x="483"/>
        <item x="424"/>
        <item x="138"/>
        <item x="460"/>
        <item x="458"/>
        <item x="15"/>
        <item x="459"/>
        <item x="343"/>
        <item x="78"/>
        <item x="306"/>
        <item x="50"/>
        <item x="311"/>
        <item x="360"/>
        <item x="393"/>
        <item x="13"/>
        <item x="156"/>
        <item x="448"/>
        <item x="339"/>
        <item x="70"/>
        <item x="18"/>
        <item x="402"/>
        <item x="296"/>
        <item x="373"/>
        <item x="293"/>
        <item x="472"/>
        <item x="453"/>
        <item x="297"/>
        <item x="363"/>
        <item x="302"/>
        <item x="434"/>
        <item x="243"/>
        <item x="374"/>
        <item x="267"/>
        <item x="271"/>
        <item x="505"/>
        <item x="53"/>
        <item x="501"/>
        <item x="354"/>
        <item x="336"/>
        <item x="102"/>
        <item x="492"/>
        <item x="238"/>
        <item x="20"/>
        <item x="205"/>
        <item x="396"/>
        <item x="195"/>
        <item x="208"/>
        <item x="321"/>
        <item x="173"/>
        <item x="445"/>
        <item x="295"/>
        <item x="365"/>
        <item x="259"/>
        <item x="350"/>
        <item x="290"/>
        <item x="185"/>
        <item x="437"/>
        <item x="482"/>
        <item x="256"/>
        <item x="14"/>
        <item x="422"/>
        <item x="294"/>
        <item x="44"/>
        <item x="361"/>
        <item x="275"/>
        <item x="392"/>
        <item x="452"/>
        <item x="91"/>
        <item x="61"/>
        <item x="151"/>
        <item x="406"/>
        <item x="284"/>
        <item x="353"/>
        <item x="112"/>
        <item x="86"/>
        <item x="477"/>
        <item x="190"/>
        <item x="370"/>
        <item x="274"/>
        <item x="278"/>
        <item x="177"/>
        <item x="508"/>
        <item x="64"/>
        <item x="135"/>
        <item x="79"/>
        <item x="67"/>
        <item x="52"/>
        <item x="65"/>
        <item x="21"/>
        <item x="355"/>
        <item x="378"/>
        <item x="143"/>
        <item x="465"/>
        <item x="197"/>
        <item x="299"/>
        <item x="92"/>
        <item x="334"/>
        <item x="129"/>
        <item x="359"/>
        <item x="189"/>
        <item x="504"/>
        <item x="155"/>
        <item x="384"/>
        <item x="330"/>
        <item x="327"/>
        <item x="19"/>
        <item x="403"/>
        <item x="211"/>
        <item x="3"/>
        <item x="413"/>
        <item x="114"/>
        <item x="25"/>
        <item x="500"/>
        <item x="89"/>
        <item x="6"/>
        <item x="71"/>
        <item x="109"/>
        <item x="74"/>
        <item x="401"/>
        <item x="217"/>
        <item x="11"/>
        <item x="261"/>
        <item x="332"/>
        <item x="337"/>
        <item x="16"/>
        <item x="212"/>
        <item x="435"/>
        <item x="75"/>
        <item x="170"/>
        <item x="265"/>
        <item x="230"/>
        <item x="375"/>
        <item x="17"/>
        <item x="467"/>
        <item x="449"/>
        <item x="171"/>
        <item x="466"/>
        <item x="43"/>
        <item x="235"/>
        <item x="200"/>
        <item x="338"/>
        <item x="98"/>
        <item x="150"/>
        <item x="158"/>
        <item x="99"/>
        <item x="491"/>
        <item x="303"/>
        <item x="281"/>
        <item x="179"/>
        <item x="106"/>
        <item x="279"/>
        <item x="168"/>
        <item x="207"/>
        <item x="266"/>
        <item x="385"/>
        <item x="167"/>
        <item x="237"/>
        <item x="141"/>
        <item x="84"/>
        <item x="23"/>
        <item x="229"/>
        <item x="493"/>
        <item x="161"/>
        <item x="489"/>
        <item x="498"/>
        <item x="479"/>
        <item x="411"/>
        <item x="451"/>
        <item x="417"/>
        <item x="371"/>
        <item x="470"/>
        <item x="47"/>
        <item x="221"/>
        <item x="315"/>
        <item x="187"/>
        <item x="418"/>
        <item x="108"/>
        <item x="439"/>
        <item x="201"/>
        <item x="280"/>
        <item x="236"/>
        <item x="202"/>
        <item x="323"/>
        <item x="487"/>
        <item x="268"/>
        <item x="277"/>
        <item x="118"/>
        <item x="80"/>
        <item x="436"/>
        <item x="180"/>
        <item x="320"/>
        <item x="1"/>
        <item x="316"/>
        <item x="45"/>
        <item x="231"/>
        <item x="204"/>
        <item x="326"/>
        <item x="415"/>
        <item x="272"/>
        <item x="282"/>
        <item x="507"/>
        <item x="123"/>
        <item x="162"/>
        <item x="301"/>
        <item x="58"/>
        <item x="175"/>
        <item x="188"/>
        <item x="463"/>
        <item x="419"/>
        <item x="54"/>
        <item x="214"/>
        <item x="252"/>
        <item x="144"/>
        <item x="258"/>
        <item x="400"/>
        <item x="440"/>
        <item x="49"/>
        <item x="213"/>
        <item x="152"/>
        <item x="346"/>
        <item x="430"/>
        <item x="28"/>
        <item x="216"/>
        <item x="220"/>
        <item x="5"/>
        <item x="62"/>
        <item x="300"/>
        <item x="34"/>
        <item x="219"/>
        <item x="429"/>
        <item x="251"/>
        <item x="270"/>
        <item x="9"/>
        <item x="381"/>
        <item x="276"/>
        <item x="169"/>
        <item x="447"/>
        <item x="85"/>
        <item x="122"/>
        <item x="481"/>
        <item x="199"/>
        <item x="335"/>
        <item x="239"/>
        <item x="444"/>
        <item x="414"/>
        <item x="356"/>
        <item x="285"/>
        <item x="183"/>
        <item x="309"/>
        <item x="494"/>
        <item x="0"/>
        <item x="342"/>
        <item x="128"/>
        <item x="263"/>
        <item x="255"/>
        <item x="87"/>
        <item x="305"/>
        <item x="225"/>
        <item x="166"/>
        <item x="39"/>
        <item x="333"/>
        <item x="247"/>
        <item x="119"/>
        <item x="410"/>
        <item x="24"/>
        <item x="473"/>
        <item x="90"/>
        <item x="476"/>
        <item x="395"/>
        <item x="240"/>
        <item x="228"/>
        <item x="76"/>
        <item x="226"/>
        <item x="130"/>
        <item x="242"/>
        <item x="462"/>
        <item x="455"/>
        <item x="407"/>
        <item x="121"/>
        <item x="317"/>
        <item x="160"/>
        <item x="93"/>
        <item x="433"/>
        <item x="117"/>
        <item x="191"/>
        <item x="29"/>
        <item x="509"/>
        <item x="394"/>
        <item x="27"/>
        <item x="66"/>
        <item x="59"/>
        <item x="233"/>
        <item x="308"/>
        <item x="46"/>
        <item x="140"/>
        <item x="157"/>
        <item x="328"/>
        <item x="364"/>
        <item x="127"/>
        <item x="232"/>
        <item x="8"/>
        <item x="116"/>
        <item x="159"/>
        <item x="94"/>
        <item x="480"/>
        <item x="96"/>
        <item x="287"/>
        <item x="377"/>
        <item x="104"/>
        <item x="125"/>
        <item x="289"/>
        <item x="113"/>
        <item x="37"/>
        <item x="349"/>
        <item x="324"/>
        <item x="115"/>
        <item x="139"/>
        <item x="245"/>
        <item x="390"/>
        <item x="224"/>
        <item x="77"/>
        <item x="32"/>
        <item x="499"/>
        <item x="124"/>
        <item x="97"/>
        <item x="464"/>
        <item x="137"/>
        <item x="210"/>
        <item x="133"/>
        <item x="368"/>
        <item x="331"/>
        <item x="348"/>
        <item x="149"/>
        <item x="222"/>
        <item x="257"/>
        <item x="72"/>
        <item x="249"/>
        <item x="386"/>
        <item x="420"/>
        <item x="322"/>
        <item x="194"/>
        <item x="254"/>
        <item x="298"/>
        <item x="193"/>
        <item x="40"/>
        <item x="82"/>
        <item x="12"/>
        <item x="416"/>
        <item x="35"/>
        <item x="26"/>
        <item x="55"/>
        <item x="405"/>
        <item x="383"/>
        <item x="30"/>
        <item x="351"/>
        <item x="154"/>
        <item x="2"/>
        <item x="244"/>
        <item x="227"/>
        <item x="56"/>
        <item x="241"/>
        <item x="478"/>
        <item x="469"/>
        <item x="329"/>
        <item x="366"/>
        <item x="438"/>
        <item x="134"/>
        <item x="107"/>
        <item x="357"/>
        <item x="42"/>
        <item x="203"/>
        <item x="209"/>
        <item x="468"/>
        <item x="57"/>
        <item x="347"/>
        <item x="307"/>
        <item x="184"/>
        <item x="344"/>
        <item x="292"/>
        <item x="234"/>
        <item x="178"/>
        <item x="163"/>
        <item x="88"/>
        <item x="182"/>
        <item x="423"/>
        <item x="389"/>
        <item x="286"/>
        <item x="404"/>
        <item x="313"/>
        <item x="408"/>
        <item x="388"/>
        <item x="461"/>
        <item x="165"/>
        <item x="120"/>
        <item x="223"/>
        <item x="503"/>
        <item x="380"/>
        <item x="283"/>
        <item x="4"/>
        <item x="22"/>
        <item x="488"/>
        <item x="132"/>
        <item x="174"/>
        <item x="60"/>
        <item x="246"/>
        <item x="273"/>
        <item x="7"/>
        <item x="427"/>
        <item x="48"/>
        <item x="372"/>
        <item x="495"/>
        <item x="484"/>
        <item x="486"/>
        <item x="426"/>
        <item x="496"/>
        <item x="312"/>
        <item x="432"/>
        <item x="369"/>
        <item x="456"/>
        <item x="111"/>
        <item x="454"/>
        <item x="186"/>
        <item x="340"/>
        <item x="399"/>
        <item x="443"/>
        <item x="441"/>
        <item x="153"/>
        <item x="325"/>
        <item x="428"/>
        <item x="192"/>
        <item x="358"/>
        <item x="10"/>
        <item x="51"/>
        <item x="341"/>
        <item x="164"/>
        <item x="446"/>
        <item x="382"/>
        <item x="442"/>
        <item x="215"/>
        <item x="95"/>
        <item x="409"/>
        <item x="262"/>
        <item x="36"/>
        <item x="218"/>
        <item x="431"/>
        <item x="253"/>
        <item x="490"/>
        <item x="172"/>
        <item x="310"/>
        <item x="391"/>
        <item x="362"/>
        <item x="379"/>
        <item x="31"/>
        <item x="502"/>
        <item x="198"/>
        <item x="33"/>
        <item x="126"/>
        <item x="136"/>
        <item x="83"/>
        <item x="196"/>
        <item x="264"/>
        <item x="101"/>
        <item x="485"/>
        <item x="68"/>
        <item x="291"/>
        <item x="475"/>
        <item x="145"/>
        <item x="250"/>
        <item x="397"/>
        <item x="506"/>
        <item x="100"/>
        <item x="147"/>
        <item x="181"/>
        <item x="288"/>
        <item x="457"/>
        <item x="398"/>
        <item x="376"/>
        <item x="260"/>
        <item x="425"/>
        <item x="345"/>
        <item x="146"/>
        <item x="412"/>
        <item x="248"/>
        <item x="367"/>
        <item x="176"/>
        <item x="314"/>
        <item x="319"/>
        <item x="206"/>
        <item x="304"/>
        <item x="131"/>
        <item x="69"/>
        <item x="421"/>
        <item x="41"/>
        <item x="450"/>
        <item x="387"/>
        <item x="38"/>
        <item x="110"/>
        <item x="142"/>
        <item x="63"/>
        <item t="default"/>
      </items>
    </pivotField>
    <pivotField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numFmtId="164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" showAll="0"/>
    <pivotField axis="axisRow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multipleItemSelectionAllowed="1" showAll="0">
      <items count="3">
        <item x="1"/>
        <item x="0"/>
        <item t="default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5">
    <field x="1"/>
    <field x="17"/>
    <field x="16"/>
    <field x="14"/>
    <field x="12"/>
  </rowFields>
  <rowItems count="16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>
      <x v="4"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 Sales" fld="9" baseField="0" baseItem="0"/>
    <dataField name="Sum of Discounts" fld="8" baseField="0" baseItem="0"/>
    <dataField name="Sum of COGS" fld="10" baseField="0" baseItem="0"/>
  </dataFields>
  <chartFormats count="12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G11" firstHeaderRow="1" firstDataRow="3" firstDataCol="1"/>
  <pivotFields count="18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dataField="1" numFmtId="164" showAll="0"/>
    <pivotField numFmtId="14" showAll="0"/>
    <pivotField numFmtId="1" showAll="0"/>
    <pivotField showAll="0"/>
    <pivotField axis="axisCol" showAll="0">
      <items count="3">
        <item x="1"/>
        <item x="0"/>
        <item t="default"/>
      </items>
    </pivotField>
    <pivotField showAll="0" defaultSubtotal="0"/>
    <pivotField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5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 Sales" fld="9" baseField="0" baseItem="0"/>
    <dataField name="Sum of Profit" fld="11" baseField="0" baseItem="0"/>
  </dataFields>
  <chartFormats count="8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G9" firstHeaderRow="0" firstDataRow="1" firstDataCol="1"/>
  <pivotFields count="18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numFmtId="164" showAll="0"/>
    <pivotField dataField="1" numFmtId="164" showAll="0"/>
    <pivotField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4" showAll="0"/>
    <pivotField numFmtId="1" showAll="0"/>
    <pivotField showAll="0"/>
    <pivotField dataField="1" showAll="0">
      <items count="3">
        <item x="1"/>
        <item x="0"/>
        <item t="default"/>
      </items>
    </pivotField>
    <pivotField showAll="0" defaultSubtotal="0"/>
    <pivotField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Min of COGS" fld="10" subtotal="min" baseField="0" baseItem="0"/>
    <dataField name="Count of Year" fld="15" subtotal="count" baseField="0" baseItem="0"/>
    <dataField name="Min of  Sales" fld="9" subtotal="min" baseField="0" baseItem="0"/>
    <dataField name="Average of Discounts" fld="8" subtotal="average" baseField="0" baseItem="0"/>
    <dataField name="Average of Profit" fld="11" subtotal="average" baseField="0" baseItem="0"/>
    <dataField name="Min of Sale Price" fld="6" subtotal="min" baseField="0" baseItem="0"/>
  </dataFields>
  <chartFormats count="1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E9" firstHeaderRow="0" firstDataRow="1" firstDataCol="1"/>
  <pivotFields count="18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numFmtId="14" showAll="0"/>
    <pivotField numFmtId="1" showAll="0"/>
    <pivotField showAll="0"/>
    <pivotField showAll="0"/>
    <pivotField showAll="0" defaultSubtotal="0"/>
    <pivotField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 Price" fld="6" baseField="0" baseItem="0"/>
    <dataField name="Sum of  Sales" fld="9" baseField="0" baseItem="0"/>
    <dataField name="Sum of COGS" fld="10" baseField="0" baseItem="0"/>
    <dataField name="Sum of Profit" fld="11" baseField="0" baseItem="0"/>
  </dataField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F10" firstHeaderRow="1" firstDataRow="2" firstDataCol="1" rowPageCount="1" colPageCount="1"/>
  <pivotFields count="18">
    <pivotField axis="axisRow" showAll="0">
      <items count="6">
        <item x="2"/>
        <item x="3"/>
        <item x="0"/>
        <item x="1"/>
        <item x="4"/>
        <item t="default"/>
      </items>
    </pivotField>
    <pivotField axis="axisPage" showAll="0">
      <items count="6">
        <item x="0"/>
        <item x="2"/>
        <item x="1"/>
        <item x="3"/>
        <item x="4"/>
        <item t="default"/>
      </items>
    </pivotField>
    <pivotField showAll="0">
      <items count="7">
        <item x="5"/>
        <item x="0"/>
        <item x="1"/>
        <item x="2"/>
        <item x="3"/>
        <item x="4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4" showAll="0"/>
    <pivotField numFmtId="1" showAll="0"/>
    <pivotField showAll="0"/>
    <pivotField showAll="0"/>
    <pivotField showAll="0" defaultSubtotal="0"/>
    <pivotField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Sum of Discounts" fld="8" baseField="0" baseItem="0"/>
  </dataFields>
  <chartFormats count="4"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D11" firstHeaderRow="1" firstDataRow="2" firstDataCol="1"/>
  <pivotFields count="18">
    <pivotField showAll="0"/>
    <pivotField showAll="0"/>
    <pivotField axis="axisRow"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4" showAll="0"/>
    <pivotField numFmtId="1" showAll="0"/>
    <pivotField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showAll="0">
      <items count="3">
        <item h="1" x="1"/>
        <item x="0"/>
        <item t="default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4">
        <item x="0"/>
        <item x="1"/>
        <item x="2"/>
        <item x="3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3">
    <i>
      <x v="1"/>
    </i>
    <i>
      <x v="2"/>
    </i>
    <i t="grand">
      <x/>
    </i>
  </colItems>
  <dataFields count="1">
    <dataField name="Sum of Profit" fld="11" baseField="0" baseItem="0"/>
  </dataFields>
  <chartFormats count="6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0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H23" sqref="H23"/>
    </sheetView>
  </sheetViews>
  <sheetFormatPr defaultRowHeight="15" x14ac:dyDescent="0.25"/>
  <cols>
    <col min="1" max="1" width="23.28515625" bestFit="1" customWidth="1"/>
    <col min="2" max="3" width="12.5703125" bestFit="1" customWidth="1"/>
  </cols>
  <sheetData>
    <row r="3" spans="1:3" x14ac:dyDescent="0.25">
      <c r="A3" s="14" t="s">
        <v>50</v>
      </c>
      <c r="B3" t="s">
        <v>52</v>
      </c>
      <c r="C3" t="s">
        <v>53</v>
      </c>
    </row>
    <row r="4" spans="1:3" x14ac:dyDescent="0.25">
      <c r="A4" s="15" t="s">
        <v>16</v>
      </c>
      <c r="B4" s="16">
        <v>24887654.885000005</v>
      </c>
      <c r="C4" s="16">
        <v>3529228.8850000002</v>
      </c>
    </row>
    <row r="5" spans="1:3" x14ac:dyDescent="0.25">
      <c r="A5" s="15" t="s">
        <v>18</v>
      </c>
      <c r="B5" s="16">
        <v>24354172.280000009</v>
      </c>
      <c r="C5" s="16">
        <v>3781020.7800000007</v>
      </c>
    </row>
    <row r="6" spans="1:3" x14ac:dyDescent="0.25">
      <c r="A6" s="15" t="s">
        <v>19</v>
      </c>
      <c r="B6" s="16">
        <v>23505340.820000011</v>
      </c>
      <c r="C6" s="16">
        <v>3680388.8200000008</v>
      </c>
    </row>
    <row r="7" spans="1:3" x14ac:dyDescent="0.25">
      <c r="A7" s="15" t="s">
        <v>20</v>
      </c>
      <c r="B7" s="16">
        <v>20949352.109999999</v>
      </c>
      <c r="C7" s="16">
        <v>2907523.1100000003</v>
      </c>
    </row>
    <row r="8" spans="1:3" x14ac:dyDescent="0.25">
      <c r="A8" s="15" t="s">
        <v>17</v>
      </c>
      <c r="B8" s="16">
        <v>25029830.165000014</v>
      </c>
      <c r="C8" s="16">
        <v>2995540.6649999991</v>
      </c>
    </row>
    <row r="9" spans="1:3" x14ac:dyDescent="0.25">
      <c r="A9" s="15" t="s">
        <v>51</v>
      </c>
      <c r="B9" s="16">
        <v>118726350.26000005</v>
      </c>
      <c r="C9" s="16">
        <v>16893702.260000002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2" sqref="B2"/>
    </sheetView>
  </sheetViews>
  <sheetFormatPr defaultRowHeight="15" x14ac:dyDescent="0.25"/>
  <cols>
    <col min="1" max="1" width="45.140625" bestFit="1" customWidth="1"/>
    <col min="2" max="3" width="12" bestFit="1" customWidth="1"/>
  </cols>
  <sheetData>
    <row r="1" spans="1:3" x14ac:dyDescent="0.25">
      <c r="A1" t="s">
        <v>60</v>
      </c>
    </row>
    <row r="2" spans="1:3" ht="15.75" thickBot="1" x14ac:dyDescent="0.3"/>
    <row r="3" spans="1:3" x14ac:dyDescent="0.25">
      <c r="A3" s="21"/>
      <c r="B3" s="21">
        <v>1618.5</v>
      </c>
      <c r="C3" s="21">
        <v>3</v>
      </c>
    </row>
    <row r="4" spans="1:3" x14ac:dyDescent="0.25">
      <c r="A4" s="19" t="s">
        <v>61</v>
      </c>
      <c r="B4" s="19">
        <v>1608.2796852646638</v>
      </c>
      <c r="C4" s="19">
        <v>96.610872675250363</v>
      </c>
    </row>
    <row r="5" spans="1:3" x14ac:dyDescent="0.25">
      <c r="A5" s="19" t="s">
        <v>62</v>
      </c>
      <c r="B5" s="19">
        <v>753508.92273858283</v>
      </c>
      <c r="C5" s="19">
        <v>11798.888477604109</v>
      </c>
    </row>
    <row r="6" spans="1:3" x14ac:dyDescent="0.25">
      <c r="A6" s="19" t="s">
        <v>63</v>
      </c>
      <c r="B6" s="19">
        <v>699</v>
      </c>
      <c r="C6" s="19">
        <v>699</v>
      </c>
    </row>
    <row r="7" spans="1:3" x14ac:dyDescent="0.25">
      <c r="A7" s="19" t="s">
        <v>64</v>
      </c>
      <c r="B7" s="19">
        <v>0</v>
      </c>
      <c r="C7" s="19"/>
    </row>
    <row r="8" spans="1:3" x14ac:dyDescent="0.25">
      <c r="A8" s="19" t="s">
        <v>65</v>
      </c>
      <c r="B8" s="19">
        <v>720</v>
      </c>
      <c r="C8" s="19"/>
    </row>
    <row r="9" spans="1:3" x14ac:dyDescent="0.25">
      <c r="A9" s="19" t="s">
        <v>66</v>
      </c>
      <c r="B9" s="19">
        <v>45.685372260201049</v>
      </c>
      <c r="C9" s="19"/>
    </row>
    <row r="10" spans="1:3" x14ac:dyDescent="0.25">
      <c r="A10" s="19" t="s">
        <v>67</v>
      </c>
      <c r="B10" s="19">
        <v>3.1632745039486269E-215</v>
      </c>
      <c r="C10" s="19"/>
    </row>
    <row r="11" spans="1:3" x14ac:dyDescent="0.25">
      <c r="A11" s="19" t="s">
        <v>68</v>
      </c>
      <c r="B11" s="19">
        <v>1.6469727152141167</v>
      </c>
      <c r="C11" s="19"/>
    </row>
    <row r="12" spans="1:3" x14ac:dyDescent="0.25">
      <c r="A12" s="19" t="s">
        <v>69</v>
      </c>
      <c r="B12" s="19">
        <v>6.3265490078972538E-215</v>
      </c>
      <c r="C12" s="19"/>
    </row>
    <row r="13" spans="1:3" ht="15.75" thickBot="1" x14ac:dyDescent="0.3">
      <c r="A13" s="20" t="s">
        <v>70</v>
      </c>
      <c r="B13" s="20">
        <v>1.9632642571814403</v>
      </c>
      <c r="C13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sqref="A1:C13"/>
    </sheetView>
  </sheetViews>
  <sheetFormatPr defaultRowHeight="15" x14ac:dyDescent="0.25"/>
  <cols>
    <col min="1" max="1" width="45.140625" bestFit="1" customWidth="1"/>
    <col min="2" max="3" width="12" bestFit="1" customWidth="1"/>
  </cols>
  <sheetData>
    <row r="1" spans="1:3" x14ac:dyDescent="0.25">
      <c r="A1" t="s">
        <v>60</v>
      </c>
    </row>
    <row r="2" spans="1:3" ht="15.75" thickBot="1" x14ac:dyDescent="0.3"/>
    <row r="3" spans="1:3" x14ac:dyDescent="0.25">
      <c r="A3" s="21"/>
      <c r="B3" s="21">
        <v>32370</v>
      </c>
      <c r="C3" s="21">
        <v>0</v>
      </c>
    </row>
    <row r="4" spans="1:3" x14ac:dyDescent="0.25">
      <c r="A4" s="19" t="s">
        <v>61</v>
      </c>
      <c r="B4" s="19">
        <v>169805.4080972817</v>
      </c>
      <c r="C4" s="19">
        <v>13169.167725321891</v>
      </c>
    </row>
    <row r="5" spans="1:3" x14ac:dyDescent="0.25">
      <c r="A5" s="19" t="s">
        <v>62</v>
      </c>
      <c r="B5" s="19">
        <v>56092626724.509377</v>
      </c>
      <c r="C5" s="19">
        <v>527803428.67885435</v>
      </c>
    </row>
    <row r="6" spans="1:3" x14ac:dyDescent="0.25">
      <c r="A6" s="19" t="s">
        <v>63</v>
      </c>
      <c r="B6" s="19">
        <v>699</v>
      </c>
      <c r="C6" s="19">
        <v>699</v>
      </c>
    </row>
    <row r="7" spans="1:3" x14ac:dyDescent="0.25">
      <c r="A7" s="19" t="s">
        <v>64</v>
      </c>
      <c r="B7" s="19">
        <v>0</v>
      </c>
      <c r="C7" s="19"/>
    </row>
    <row r="8" spans="1:3" x14ac:dyDescent="0.25">
      <c r="A8" s="19" t="s">
        <v>65</v>
      </c>
      <c r="B8" s="19">
        <v>711</v>
      </c>
      <c r="C8" s="19"/>
    </row>
    <row r="9" spans="1:3" x14ac:dyDescent="0.25">
      <c r="A9" s="19" t="s">
        <v>66</v>
      </c>
      <c r="B9" s="19">
        <v>17.40380690587293</v>
      </c>
      <c r="C9" s="19"/>
    </row>
    <row r="10" spans="1:3" x14ac:dyDescent="0.25">
      <c r="A10" s="19" t="s">
        <v>67</v>
      </c>
      <c r="B10" s="19">
        <v>4.4185082437712489E-57</v>
      </c>
      <c r="C10" s="19"/>
    </row>
    <row r="11" spans="1:3" x14ac:dyDescent="0.25">
      <c r="A11" s="19" t="s">
        <v>68</v>
      </c>
      <c r="B11" s="19">
        <v>1.6469995743014807</v>
      </c>
      <c r="C11" s="19"/>
    </row>
    <row r="12" spans="1:3" x14ac:dyDescent="0.25">
      <c r="A12" s="19" t="s">
        <v>69</v>
      </c>
      <c r="B12" s="19">
        <v>8.8370164875424978E-57</v>
      </c>
      <c r="C12" s="19"/>
    </row>
    <row r="13" spans="1:3" ht="15.75" thickBot="1" x14ac:dyDescent="0.3">
      <c r="A13" s="20" t="s">
        <v>70</v>
      </c>
      <c r="B13" s="20">
        <v>1.9633061027531928</v>
      </c>
      <c r="C13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B6" sqref="B6"/>
    </sheetView>
  </sheetViews>
  <sheetFormatPr defaultRowHeight="15" x14ac:dyDescent="0.25"/>
  <cols>
    <col min="1" max="1" width="45.140625" bestFit="1" customWidth="1"/>
    <col min="2" max="2" width="12" customWidth="1"/>
    <col min="3" max="3" width="19.7109375" bestFit="1" customWidth="1"/>
    <col min="7" max="7" width="45.140625" bestFit="1" customWidth="1"/>
    <col min="8" max="9" width="12" bestFit="1" customWidth="1"/>
  </cols>
  <sheetData>
    <row r="1" spans="1:9" x14ac:dyDescent="0.25">
      <c r="A1" s="27" t="s">
        <v>60</v>
      </c>
      <c r="G1" s="24" t="s">
        <v>60</v>
      </c>
    </row>
    <row r="2" spans="1:9" ht="15.75" thickBot="1" x14ac:dyDescent="0.3"/>
    <row r="3" spans="1:9" x14ac:dyDescent="0.25">
      <c r="A3" s="21"/>
      <c r="B3" s="32" t="s">
        <v>4</v>
      </c>
      <c r="C3" s="32" t="s">
        <v>5</v>
      </c>
      <c r="G3" s="21"/>
      <c r="H3" s="32" t="s">
        <v>34</v>
      </c>
      <c r="I3" s="32" t="s">
        <v>2</v>
      </c>
    </row>
    <row r="4" spans="1:9" x14ac:dyDescent="0.25">
      <c r="A4" s="28" t="s">
        <v>61</v>
      </c>
      <c r="B4" s="19">
        <v>1608.2942857142857</v>
      </c>
      <c r="C4" s="19">
        <v>96.477142857142852</v>
      </c>
      <c r="G4" s="30" t="s">
        <v>61</v>
      </c>
      <c r="H4" s="19">
        <v>169609.07179999989</v>
      </c>
      <c r="I4" s="19">
        <v>13150.354628571431</v>
      </c>
    </row>
    <row r="5" spans="1:9" x14ac:dyDescent="0.25">
      <c r="A5" s="28" t="s">
        <v>62</v>
      </c>
      <c r="B5" s="19">
        <v>752431.09066830168</v>
      </c>
      <c r="C5" s="19">
        <v>11794.527373799305</v>
      </c>
      <c r="G5" s="30" t="s">
        <v>62</v>
      </c>
      <c r="H5" s="19">
        <v>56039363321.240723</v>
      </c>
      <c r="I5" s="19">
        <v>527296097.91643983</v>
      </c>
    </row>
    <row r="6" spans="1:9" x14ac:dyDescent="0.25">
      <c r="A6" s="28" t="s">
        <v>63</v>
      </c>
      <c r="B6" s="19">
        <v>700</v>
      </c>
      <c r="C6" s="19">
        <v>700</v>
      </c>
      <c r="G6" s="30" t="s">
        <v>63</v>
      </c>
      <c r="H6" s="19">
        <v>700</v>
      </c>
      <c r="I6" s="19">
        <v>700</v>
      </c>
    </row>
    <row r="7" spans="1:9" x14ac:dyDescent="0.25">
      <c r="A7" s="28" t="s">
        <v>64</v>
      </c>
      <c r="B7" s="19">
        <v>0</v>
      </c>
      <c r="C7" s="19"/>
      <c r="G7" s="30" t="s">
        <v>64</v>
      </c>
      <c r="H7" s="19">
        <v>0</v>
      </c>
      <c r="I7" s="19"/>
    </row>
    <row r="8" spans="1:9" x14ac:dyDescent="0.25">
      <c r="A8" s="28" t="s">
        <v>65</v>
      </c>
      <c r="B8" s="19">
        <v>721</v>
      </c>
      <c r="C8" s="19"/>
      <c r="G8" s="30" t="s">
        <v>65</v>
      </c>
      <c r="H8" s="19">
        <v>712</v>
      </c>
      <c r="I8" s="19"/>
    </row>
    <row r="9" spans="1:9" x14ac:dyDescent="0.25">
      <c r="A9" s="28" t="s">
        <v>66</v>
      </c>
      <c r="B9" s="19">
        <v>45.754887271415022</v>
      </c>
      <c r="C9" s="19"/>
      <c r="G9" s="30" t="s">
        <v>66</v>
      </c>
      <c r="H9" s="19">
        <v>17.404779239563343</v>
      </c>
      <c r="I9" s="19"/>
    </row>
    <row r="10" spans="1:9" x14ac:dyDescent="0.25">
      <c r="A10" s="28" t="s">
        <v>67</v>
      </c>
      <c r="B10" s="19">
        <v>1.0275908574869704E-215</v>
      </c>
      <c r="C10" s="19"/>
      <c r="G10" s="30" t="s">
        <v>67</v>
      </c>
      <c r="H10" s="19">
        <v>4.24458702230843E-57</v>
      </c>
      <c r="I10" s="19"/>
    </row>
    <row r="11" spans="1:9" x14ac:dyDescent="0.25">
      <c r="A11" s="28" t="s">
        <v>68</v>
      </c>
      <c r="B11" s="19">
        <v>1.6469697723163124</v>
      </c>
      <c r="C11" s="19"/>
      <c r="G11" s="30" t="s">
        <v>68</v>
      </c>
      <c r="H11" s="19">
        <v>1.6469965563826174</v>
      </c>
      <c r="I11" s="19"/>
    </row>
    <row r="12" spans="1:9" x14ac:dyDescent="0.25">
      <c r="A12" s="28" t="s">
        <v>69</v>
      </c>
      <c r="B12" s="19">
        <v>2.0551817149739409E-215</v>
      </c>
      <c r="C12" s="19"/>
      <c r="G12" s="30" t="s">
        <v>69</v>
      </c>
      <c r="H12" s="19">
        <v>8.4891740446168599E-57</v>
      </c>
      <c r="I12" s="19"/>
    </row>
    <row r="13" spans="1:9" ht="15.75" thickBot="1" x14ac:dyDescent="0.3">
      <c r="A13" s="29" t="s">
        <v>70</v>
      </c>
      <c r="B13" s="20">
        <v>1.9632596722668607</v>
      </c>
      <c r="C13" s="20"/>
      <c r="G13" s="31" t="s">
        <v>70</v>
      </c>
      <c r="H13" s="20">
        <v>1.96330140091623</v>
      </c>
      <c r="I13" s="20"/>
    </row>
  </sheetData>
  <conditionalFormatting sqref="B2:C1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I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3" sqref="A3:C13"/>
    </sheetView>
  </sheetViews>
  <sheetFormatPr defaultRowHeight="15" x14ac:dyDescent="0.25"/>
  <sheetData>
    <row r="1" spans="1:3" x14ac:dyDescent="0.25">
      <c r="A1" t="s">
        <v>60</v>
      </c>
    </row>
    <row r="3" spans="1:3" x14ac:dyDescent="0.25">
      <c r="B3" t="s">
        <v>34</v>
      </c>
      <c r="C3" t="s">
        <v>2</v>
      </c>
    </row>
    <row r="4" spans="1:3" x14ac:dyDescent="0.25">
      <c r="A4" t="s">
        <v>61</v>
      </c>
      <c r="B4">
        <v>338649.35713698238</v>
      </c>
      <c r="C4">
        <v>26344.012058645003</v>
      </c>
    </row>
    <row r="5" spans="1:3" x14ac:dyDescent="0.25">
      <c r="A5" t="s">
        <v>62</v>
      </c>
      <c r="B5">
        <v>19965559202096.121</v>
      </c>
      <c r="C5">
        <v>120226054971.55328</v>
      </c>
    </row>
    <row r="6" spans="1:3" x14ac:dyDescent="0.25">
      <c r="A6" t="s">
        <v>63</v>
      </c>
      <c r="B6">
        <v>706</v>
      </c>
      <c r="C6">
        <v>706</v>
      </c>
    </row>
    <row r="7" spans="1:3" x14ac:dyDescent="0.25">
      <c r="A7" t="s">
        <v>64</v>
      </c>
      <c r="B7">
        <v>0</v>
      </c>
    </row>
    <row r="8" spans="1:3" x14ac:dyDescent="0.25">
      <c r="A8" t="s">
        <v>65</v>
      </c>
      <c r="B8">
        <v>713</v>
      </c>
    </row>
    <row r="9" spans="1:3" x14ac:dyDescent="0.25">
      <c r="A9" t="s">
        <v>66</v>
      </c>
      <c r="B9">
        <v>1.851558167397394</v>
      </c>
    </row>
    <row r="10" spans="1:3" x14ac:dyDescent="0.25">
      <c r="A10" t="s">
        <v>67</v>
      </c>
      <c r="B10">
        <v>3.2251279517614341E-2</v>
      </c>
    </row>
    <row r="11" spans="1:3" x14ac:dyDescent="0.25">
      <c r="A11" t="s">
        <v>68</v>
      </c>
      <c r="B11">
        <v>1.6469935469401629</v>
      </c>
    </row>
    <row r="12" spans="1:3" x14ac:dyDescent="0.25">
      <c r="A12" t="s">
        <v>69</v>
      </c>
      <c r="B12">
        <v>6.4502559035228682E-2</v>
      </c>
    </row>
    <row r="13" spans="1:3" x14ac:dyDescent="0.25">
      <c r="A13" t="s">
        <v>70</v>
      </c>
      <c r="B13">
        <v>1.9632967122901408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2" sqref="A1:C13"/>
    </sheetView>
  </sheetViews>
  <sheetFormatPr defaultRowHeight="15" x14ac:dyDescent="0.25"/>
  <cols>
    <col min="1" max="1" width="45.140625" bestFit="1" customWidth="1"/>
    <col min="2" max="3" width="12" bestFit="1" customWidth="1"/>
  </cols>
  <sheetData>
    <row r="1" spans="1:3" x14ac:dyDescent="0.25">
      <c r="A1" t="s">
        <v>60</v>
      </c>
    </row>
    <row r="2" spans="1:3" ht="15.75" thickBot="1" x14ac:dyDescent="0.3"/>
    <row r="3" spans="1:3" x14ac:dyDescent="0.25">
      <c r="A3" s="21"/>
      <c r="B3" s="21" t="s">
        <v>34</v>
      </c>
      <c r="C3" s="21" t="s">
        <v>2</v>
      </c>
    </row>
    <row r="4" spans="1:3" x14ac:dyDescent="0.25">
      <c r="A4" s="19" t="s">
        <v>61</v>
      </c>
      <c r="B4" s="19">
        <v>169609.07179999989</v>
      </c>
      <c r="C4" s="19">
        <v>13150.354628571431</v>
      </c>
    </row>
    <row r="5" spans="1:3" x14ac:dyDescent="0.25">
      <c r="A5" s="19" t="s">
        <v>62</v>
      </c>
      <c r="B5" s="19">
        <v>56039363321.240723</v>
      </c>
      <c r="C5" s="19">
        <v>527296097.91643983</v>
      </c>
    </row>
    <row r="6" spans="1:3" x14ac:dyDescent="0.25">
      <c r="A6" s="19" t="s">
        <v>63</v>
      </c>
      <c r="B6" s="19">
        <v>700</v>
      </c>
      <c r="C6" s="19">
        <v>700</v>
      </c>
    </row>
    <row r="7" spans="1:3" x14ac:dyDescent="0.25">
      <c r="A7" s="19" t="s">
        <v>64</v>
      </c>
      <c r="B7" s="19">
        <v>0</v>
      </c>
      <c r="C7" s="19"/>
    </row>
    <row r="8" spans="1:3" x14ac:dyDescent="0.25">
      <c r="A8" s="19" t="s">
        <v>65</v>
      </c>
      <c r="B8" s="19">
        <v>712</v>
      </c>
      <c r="C8" s="19"/>
    </row>
    <row r="9" spans="1:3" x14ac:dyDescent="0.25">
      <c r="A9" s="19" t="s">
        <v>66</v>
      </c>
      <c r="B9" s="19">
        <v>17.404779239563343</v>
      </c>
      <c r="C9" s="19"/>
    </row>
    <row r="10" spans="1:3" x14ac:dyDescent="0.25">
      <c r="A10" s="19" t="s">
        <v>67</v>
      </c>
      <c r="B10" s="19">
        <v>4.24458702230843E-57</v>
      </c>
      <c r="C10" s="19"/>
    </row>
    <row r="11" spans="1:3" x14ac:dyDescent="0.25">
      <c r="A11" s="19" t="s">
        <v>68</v>
      </c>
      <c r="B11" s="19">
        <v>1.6469965563826174</v>
      </c>
      <c r="C11" s="19"/>
    </row>
    <row r="12" spans="1:3" x14ac:dyDescent="0.25">
      <c r="A12" s="19" t="s">
        <v>69</v>
      </c>
      <c r="B12" s="19">
        <v>8.4891740446168599E-57</v>
      </c>
      <c r="C12" s="19"/>
    </row>
    <row r="13" spans="1:3" ht="15.75" thickBot="1" x14ac:dyDescent="0.3">
      <c r="A13" s="20" t="s">
        <v>70</v>
      </c>
      <c r="B13" s="20">
        <v>1.96330140091623</v>
      </c>
      <c r="C13" s="20"/>
    </row>
  </sheetData>
  <conditionalFormatting sqref="B2:C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"/>
  <sheetViews>
    <sheetView topLeftCell="A3" workbookViewId="0">
      <selection activeCell="I8" sqref="I8"/>
    </sheetView>
  </sheetViews>
  <sheetFormatPr defaultRowHeight="15" x14ac:dyDescent="0.25"/>
  <cols>
    <col min="1" max="1" width="16.28515625" customWidth="1"/>
    <col min="2" max="2" width="16.28515625" bestFit="1" customWidth="1"/>
    <col min="3" max="3" width="8.140625" customWidth="1"/>
    <col min="4" max="4" width="9.140625" customWidth="1"/>
    <col min="5" max="5" width="8.140625" customWidth="1"/>
    <col min="6" max="6" width="23.42578125" bestFit="1" customWidth="1"/>
    <col min="7" max="7" width="11.28515625" customWidth="1"/>
  </cols>
  <sheetData>
    <row r="3" spans="1:7" x14ac:dyDescent="0.25">
      <c r="A3" s="14" t="s">
        <v>52</v>
      </c>
      <c r="B3" s="14" t="s">
        <v>71</v>
      </c>
    </row>
    <row r="4" spans="1:7" x14ac:dyDescent="0.25">
      <c r="A4" s="14" t="s">
        <v>50</v>
      </c>
      <c r="B4" t="s">
        <v>16</v>
      </c>
      <c r="C4" t="s">
        <v>18</v>
      </c>
      <c r="D4" t="s">
        <v>19</v>
      </c>
      <c r="E4" t="s">
        <v>20</v>
      </c>
      <c r="F4" t="s">
        <v>17</v>
      </c>
      <c r="G4" t="s">
        <v>51</v>
      </c>
    </row>
    <row r="5" spans="1:7" x14ac:dyDescent="0.25">
      <c r="A5" s="15" t="s">
        <v>11</v>
      </c>
      <c r="B5" s="23">
        <v>1.9735251966067267E-2</v>
      </c>
      <c r="C5" s="23">
        <v>1.5278300396419801E-2</v>
      </c>
      <c r="D5" s="23">
        <v>1.4312742051957194E-2</v>
      </c>
      <c r="E5" s="23">
        <v>1.1187891576280352E-2</v>
      </c>
      <c r="F5" s="23">
        <v>1.4643894009018736E-2</v>
      </c>
      <c r="G5" s="23">
        <v>1.516591418886256E-2</v>
      </c>
    </row>
    <row r="6" spans="1:7" x14ac:dyDescent="0.25">
      <c r="A6" s="15" t="s">
        <v>9</v>
      </c>
      <c r="B6" s="23">
        <v>0.15941603450919117</v>
      </c>
      <c r="C6" s="23">
        <v>0.15976279465655488</v>
      </c>
      <c r="D6" s="23">
        <v>0.17386798520796776</v>
      </c>
      <c r="E6" s="23">
        <v>0.15828084957420671</v>
      </c>
      <c r="F6" s="23">
        <v>0.173816800646278</v>
      </c>
      <c r="G6" s="23">
        <v>0.16518400786390014</v>
      </c>
    </row>
    <row r="7" spans="1:7" x14ac:dyDescent="0.25">
      <c r="A7" s="15" t="s">
        <v>10</v>
      </c>
      <c r="B7" s="23">
        <v>0.43158893715107866</v>
      </c>
      <c r="C7" s="23">
        <v>0.49797556577028529</v>
      </c>
      <c r="D7" s="23">
        <v>0.48724653804020013</v>
      </c>
      <c r="E7" s="23">
        <v>0.46739389975339896</v>
      </c>
      <c r="F7" s="23">
        <v>0.33522984593531296</v>
      </c>
      <c r="G7" s="23">
        <v>0.44222921495540285</v>
      </c>
    </row>
    <row r="8" spans="1:7" x14ac:dyDescent="0.25">
      <c r="A8" s="15" t="s">
        <v>8</v>
      </c>
      <c r="B8" s="23">
        <v>2.0500685072883679E-2</v>
      </c>
      <c r="C8" s="23">
        <v>2.4381944423035842E-2</v>
      </c>
      <c r="D8" s="23">
        <v>1.2820267202575284E-2</v>
      </c>
      <c r="E8" s="23">
        <v>2.4398673396491977E-2</v>
      </c>
      <c r="F8" s="23">
        <v>1.8593249412086049E-2</v>
      </c>
      <c r="G8" s="23">
        <v>2.0061958190274454E-2</v>
      </c>
    </row>
    <row r="9" spans="1:7" x14ac:dyDescent="0.25">
      <c r="A9" s="15" t="s">
        <v>7</v>
      </c>
      <c r="B9" s="23">
        <v>0.36875909130077927</v>
      </c>
      <c r="C9" s="23">
        <v>0.30260139475370429</v>
      </c>
      <c r="D9" s="23">
        <v>0.31175246749729968</v>
      </c>
      <c r="E9" s="23">
        <v>0.33873868569962184</v>
      </c>
      <c r="F9" s="23">
        <v>0.45771620999730422</v>
      </c>
      <c r="G9" s="23">
        <v>0.35735890480155996</v>
      </c>
    </row>
    <row r="10" spans="1:7" x14ac:dyDescent="0.25">
      <c r="A10" s="15" t="s">
        <v>51</v>
      </c>
      <c r="B10" s="23">
        <v>1</v>
      </c>
      <c r="C10" s="23">
        <v>1</v>
      </c>
      <c r="D10" s="23">
        <v>1</v>
      </c>
      <c r="E10" s="23">
        <v>1</v>
      </c>
      <c r="F10" s="23">
        <v>1</v>
      </c>
      <c r="G10" s="23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B18" sqref="B18"/>
    </sheetView>
  </sheetViews>
  <sheetFormatPr defaultRowHeight="15" x14ac:dyDescent="0.25"/>
  <cols>
    <col min="1" max="2" width="16.28515625" customWidth="1"/>
    <col min="3" max="5" width="12.5703125" customWidth="1"/>
    <col min="6" max="6" width="14.140625" bestFit="1" customWidth="1"/>
    <col min="7" max="8" width="12.5703125" customWidth="1"/>
  </cols>
  <sheetData>
    <row r="3" spans="1:5" x14ac:dyDescent="0.25">
      <c r="A3" s="14" t="s">
        <v>50</v>
      </c>
      <c r="B3" t="s">
        <v>74</v>
      </c>
      <c r="C3" t="s">
        <v>52</v>
      </c>
      <c r="D3" t="s">
        <v>76</v>
      </c>
      <c r="E3" t="s">
        <v>53</v>
      </c>
    </row>
    <row r="4" spans="1:5" x14ac:dyDescent="0.25">
      <c r="A4" s="33" t="s">
        <v>11</v>
      </c>
      <c r="B4" s="16">
        <v>1200</v>
      </c>
      <c r="C4" s="16">
        <v>1800593.6399999994</v>
      </c>
      <c r="D4" s="16">
        <v>483790.5</v>
      </c>
      <c r="E4" s="16">
        <v>1316803.1400000001</v>
      </c>
    </row>
    <row r="5" spans="1:5" x14ac:dyDescent="0.25">
      <c r="A5" s="33" t="s">
        <v>9</v>
      </c>
      <c r="B5" s="16">
        <v>12500</v>
      </c>
      <c r="C5" s="16">
        <v>19611694.375</v>
      </c>
      <c r="D5" s="16">
        <v>20226240</v>
      </c>
      <c r="E5" s="16">
        <v>-614545.625</v>
      </c>
    </row>
    <row r="6" spans="1:5" x14ac:dyDescent="0.25">
      <c r="A6" s="33" t="s">
        <v>10</v>
      </c>
      <c r="B6" s="16">
        <v>37700</v>
      </c>
      <c r="C6" s="16">
        <v>52504260.670000039</v>
      </c>
      <c r="D6" s="16">
        <v>41116087.5</v>
      </c>
      <c r="E6" s="16">
        <v>11388173.169999985</v>
      </c>
    </row>
    <row r="7" spans="1:5" x14ac:dyDescent="0.25">
      <c r="A7" s="33" t="s">
        <v>8</v>
      </c>
      <c r="B7" s="16">
        <v>1500</v>
      </c>
      <c r="C7" s="16">
        <v>2381883.0750000002</v>
      </c>
      <c r="D7" s="16">
        <v>1721780</v>
      </c>
      <c r="E7" s="16">
        <v>660103.07499999984</v>
      </c>
    </row>
    <row r="8" spans="1:5" x14ac:dyDescent="0.25">
      <c r="A8" s="33" t="s">
        <v>7</v>
      </c>
      <c r="B8" s="16">
        <v>30000</v>
      </c>
      <c r="C8" s="16">
        <v>42427918.5</v>
      </c>
      <c r="D8" s="16">
        <v>38284750</v>
      </c>
      <c r="E8" s="16">
        <v>4143168.5</v>
      </c>
    </row>
    <row r="9" spans="1:5" x14ac:dyDescent="0.25">
      <c r="A9" s="33" t="s">
        <v>51</v>
      </c>
      <c r="B9" s="16">
        <v>82900</v>
      </c>
      <c r="C9" s="16">
        <v>118726350.26000004</v>
      </c>
      <c r="D9" s="16">
        <v>101832648</v>
      </c>
      <c r="E9" s="16">
        <v>16893702.259999983</v>
      </c>
    </row>
  </sheetData>
  <conditionalFormatting sqref="A3:E3 A4:A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topLeftCell="A3" workbookViewId="0">
      <selection activeCell="K9" sqref="K9"/>
    </sheetView>
  </sheetViews>
  <sheetFormatPr defaultRowHeight="15" x14ac:dyDescent="0.25"/>
  <cols>
    <col min="1" max="1" width="23.28515625" customWidth="1"/>
    <col min="2" max="2" width="16.28515625" customWidth="1"/>
    <col min="3" max="3" width="8" customWidth="1"/>
    <col min="4" max="4" width="8.5703125" customWidth="1"/>
    <col min="5" max="5" width="8" bestFit="1" customWidth="1"/>
    <col min="6" max="7" width="8" customWidth="1"/>
    <col min="8" max="8" width="9.85546875" customWidth="1"/>
    <col min="9" max="9" width="8.42578125" customWidth="1"/>
    <col min="10" max="10" width="9.28515625" bestFit="1" customWidth="1"/>
    <col min="11" max="11" width="9" customWidth="1"/>
    <col min="12" max="13" width="8" customWidth="1"/>
    <col min="14" max="14" width="7" customWidth="1"/>
    <col min="15" max="15" width="9.42578125" customWidth="1"/>
    <col min="16" max="16" width="10.42578125" bestFit="1" customWidth="1"/>
    <col min="17" max="17" width="9.28515625" customWidth="1"/>
    <col min="18" max="18" width="9" customWidth="1"/>
    <col min="19" max="19" width="6.28515625" customWidth="1"/>
    <col min="20" max="21" width="8" customWidth="1"/>
    <col min="22" max="22" width="13.5703125" bestFit="1" customWidth="1"/>
    <col min="23" max="23" width="8.42578125" customWidth="1"/>
    <col min="24" max="24" width="9.28515625" customWidth="1"/>
    <col min="25" max="25" width="9" customWidth="1"/>
    <col min="26" max="26" width="6.28515625" customWidth="1"/>
    <col min="27" max="27" width="5.140625" customWidth="1"/>
    <col min="28" max="28" width="5" customWidth="1"/>
    <col min="29" max="29" width="10.7109375" bestFit="1" customWidth="1"/>
  </cols>
  <sheetData>
    <row r="3" spans="1:5" x14ac:dyDescent="0.25">
      <c r="A3" s="14" t="s">
        <v>73</v>
      </c>
      <c r="B3" s="14" t="s">
        <v>71</v>
      </c>
    </row>
    <row r="4" spans="1:5" x14ac:dyDescent="0.25">
      <c r="A4" s="14" t="s">
        <v>50</v>
      </c>
      <c r="B4" t="s">
        <v>48</v>
      </c>
      <c r="C4" t="s">
        <v>46</v>
      </c>
      <c r="D4" t="s">
        <v>47</v>
      </c>
      <c r="E4" t="s">
        <v>45</v>
      </c>
    </row>
    <row r="5" spans="1:5" x14ac:dyDescent="0.25">
      <c r="A5" s="15" t="s">
        <v>16</v>
      </c>
      <c r="B5" s="16">
        <v>94861</v>
      </c>
      <c r="C5" s="16">
        <v>61140.5</v>
      </c>
      <c r="D5" s="16">
        <v>71613</v>
      </c>
      <c r="E5" s="16">
        <v>19814</v>
      </c>
    </row>
    <row r="6" spans="1:5" x14ac:dyDescent="0.25">
      <c r="A6" s="15" t="s">
        <v>18</v>
      </c>
      <c r="B6" s="16">
        <v>80157.5</v>
      </c>
      <c r="C6" s="16">
        <v>55735.5</v>
      </c>
      <c r="D6" s="16">
        <v>88103</v>
      </c>
      <c r="E6" s="16">
        <v>16935</v>
      </c>
    </row>
    <row r="7" spans="1:5" x14ac:dyDescent="0.25">
      <c r="A7" s="15" t="s">
        <v>19</v>
      </c>
      <c r="B7" s="16">
        <v>52010</v>
      </c>
      <c r="C7" s="16">
        <v>52174.5</v>
      </c>
      <c r="D7" s="16">
        <v>71746</v>
      </c>
      <c r="E7" s="16">
        <v>25563.5</v>
      </c>
    </row>
    <row r="8" spans="1:5" x14ac:dyDescent="0.25">
      <c r="A8" s="15" t="s">
        <v>20</v>
      </c>
      <c r="B8" s="16">
        <v>78860</v>
      </c>
      <c r="C8" s="16">
        <v>40731</v>
      </c>
      <c r="D8" s="16">
        <v>71226</v>
      </c>
      <c r="E8" s="16">
        <v>12508</v>
      </c>
    </row>
    <row r="9" spans="1:5" x14ac:dyDescent="0.25">
      <c r="A9" s="15" t="s">
        <v>17</v>
      </c>
      <c r="B9" s="16">
        <v>92197</v>
      </c>
      <c r="C9" s="16">
        <v>52077</v>
      </c>
      <c r="D9" s="16">
        <v>77010.5</v>
      </c>
      <c r="E9" s="16">
        <v>11343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9"/>
  <sheetViews>
    <sheetView workbookViewId="0">
      <selection activeCell="E22" sqref="E22"/>
    </sheetView>
  </sheetViews>
  <sheetFormatPr defaultRowHeight="15" x14ac:dyDescent="0.25"/>
  <cols>
    <col min="1" max="1" width="25.28515625" bestFit="1" customWidth="1"/>
    <col min="2" max="2" width="12.5703125" bestFit="1" customWidth="1"/>
    <col min="3" max="3" width="16.7109375" bestFit="1" customWidth="1"/>
  </cols>
  <sheetData>
    <row r="3" spans="1:3" x14ac:dyDescent="0.25">
      <c r="A3" s="14" t="s">
        <v>50</v>
      </c>
      <c r="B3" t="s">
        <v>53</v>
      </c>
      <c r="C3" t="s">
        <v>73</v>
      </c>
    </row>
    <row r="4" spans="1:3" x14ac:dyDescent="0.25">
      <c r="A4" s="15" t="s">
        <v>16</v>
      </c>
      <c r="B4" s="16">
        <v>3529228.8849999993</v>
      </c>
      <c r="C4" s="16">
        <v>247428.5</v>
      </c>
    </row>
    <row r="5" spans="1:3" x14ac:dyDescent="0.25">
      <c r="A5" s="22" t="s">
        <v>14</v>
      </c>
      <c r="B5" s="16">
        <v>803671.7799999998</v>
      </c>
      <c r="C5" s="16">
        <v>62291</v>
      </c>
    </row>
    <row r="6" spans="1:3" x14ac:dyDescent="0.25">
      <c r="A6" s="22" t="s">
        <v>15</v>
      </c>
      <c r="B6" s="16">
        <v>2725557.1049999995</v>
      </c>
      <c r="C6" s="16">
        <v>185137.5</v>
      </c>
    </row>
    <row r="7" spans="1:3" x14ac:dyDescent="0.25">
      <c r="A7" s="15" t="s">
        <v>18</v>
      </c>
      <c r="B7" s="16">
        <v>3781020.7799999993</v>
      </c>
      <c r="C7" s="16">
        <v>240931</v>
      </c>
    </row>
    <row r="8" spans="1:3" x14ac:dyDescent="0.25">
      <c r="A8" s="22" t="s">
        <v>14</v>
      </c>
      <c r="B8" s="16">
        <v>811332.17</v>
      </c>
      <c r="C8" s="16">
        <v>51326</v>
      </c>
    </row>
    <row r="9" spans="1:3" x14ac:dyDescent="0.25">
      <c r="A9" s="22" t="s">
        <v>15</v>
      </c>
      <c r="B9" s="16">
        <v>2969688.6099999994</v>
      </c>
      <c r="C9" s="16">
        <v>189605</v>
      </c>
    </row>
    <row r="10" spans="1:3" x14ac:dyDescent="0.25">
      <c r="A10" s="15" t="s">
        <v>19</v>
      </c>
      <c r="B10" s="16">
        <v>3680388.8200000026</v>
      </c>
      <c r="C10" s="16">
        <v>201494</v>
      </c>
    </row>
    <row r="11" spans="1:3" x14ac:dyDescent="0.25">
      <c r="A11" s="22" t="s">
        <v>14</v>
      </c>
      <c r="B11" s="16">
        <v>1118219.4700000002</v>
      </c>
      <c r="C11" s="16">
        <v>54272</v>
      </c>
    </row>
    <row r="12" spans="1:3" x14ac:dyDescent="0.25">
      <c r="A12" s="22" t="s">
        <v>15</v>
      </c>
      <c r="B12" s="16">
        <v>2562169.3500000024</v>
      </c>
      <c r="C12" s="16">
        <v>147222</v>
      </c>
    </row>
    <row r="13" spans="1:3" x14ac:dyDescent="0.25">
      <c r="A13" s="15" t="s">
        <v>20</v>
      </c>
      <c r="B13" s="16">
        <v>2907523.1099999994</v>
      </c>
      <c r="C13" s="16">
        <v>203325</v>
      </c>
    </row>
    <row r="14" spans="1:3" x14ac:dyDescent="0.25">
      <c r="A14" s="22" t="s">
        <v>14</v>
      </c>
      <c r="B14" s="16">
        <v>592670.26000000013</v>
      </c>
      <c r="C14" s="16">
        <v>49305</v>
      </c>
    </row>
    <row r="15" spans="1:3" x14ac:dyDescent="0.25">
      <c r="A15" s="22" t="s">
        <v>15</v>
      </c>
      <c r="B15" s="16">
        <v>2314852.8499999992</v>
      </c>
      <c r="C15" s="16">
        <v>154020</v>
      </c>
    </row>
    <row r="16" spans="1:3" x14ac:dyDescent="0.25">
      <c r="A16" s="15" t="s">
        <v>17</v>
      </c>
      <c r="B16" s="16">
        <v>2995540.665</v>
      </c>
      <c r="C16" s="16">
        <v>232627.5</v>
      </c>
    </row>
    <row r="17" spans="1:3" x14ac:dyDescent="0.25">
      <c r="A17" s="22" t="s">
        <v>14</v>
      </c>
      <c r="B17" s="16">
        <v>552570.82999999996</v>
      </c>
      <c r="C17" s="16">
        <v>47480</v>
      </c>
    </row>
    <row r="18" spans="1:3" x14ac:dyDescent="0.25">
      <c r="A18" s="22" t="s">
        <v>15</v>
      </c>
      <c r="B18" s="16">
        <v>2442969.835</v>
      </c>
      <c r="C18" s="16">
        <v>185147.5</v>
      </c>
    </row>
    <row r="19" spans="1:3" x14ac:dyDescent="0.25">
      <c r="A19" s="15" t="s">
        <v>51</v>
      </c>
      <c r="B19" s="16">
        <v>16893702.260000002</v>
      </c>
      <c r="C19" s="16">
        <v>1125806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9"/>
  <sheetViews>
    <sheetView workbookViewId="0">
      <selection activeCell="B16" sqref="B16"/>
    </sheetView>
  </sheetViews>
  <sheetFormatPr defaultRowHeight="15" x14ac:dyDescent="0.25"/>
  <cols>
    <col min="1" max="1" width="25.28515625" customWidth="1"/>
    <col min="2" max="2" width="12.5703125" customWidth="1"/>
    <col min="3" max="3" width="16.28515625" bestFit="1" customWidth="1"/>
    <col min="4" max="4" width="12.5703125" bestFit="1" customWidth="1"/>
    <col min="5" max="5" width="5" bestFit="1" customWidth="1"/>
    <col min="6" max="7" width="8" bestFit="1" customWidth="1"/>
    <col min="8" max="8" width="6" bestFit="1" customWidth="1"/>
    <col min="9" max="9" width="5" bestFit="1" customWidth="1"/>
    <col min="10" max="10" width="8" bestFit="1" customWidth="1"/>
    <col min="11" max="11" width="6" bestFit="1" customWidth="1"/>
    <col min="12" max="12" width="5" bestFit="1" customWidth="1"/>
    <col min="13" max="13" width="7" bestFit="1" customWidth="1"/>
    <col min="14" max="14" width="6" bestFit="1" customWidth="1"/>
    <col min="15" max="17" width="7" bestFit="1" customWidth="1"/>
    <col min="18" max="18" width="5" bestFit="1" customWidth="1"/>
    <col min="19" max="19" width="9" bestFit="1" customWidth="1"/>
    <col min="20" max="21" width="8" bestFit="1" customWidth="1"/>
    <col min="22" max="22" width="6" bestFit="1" customWidth="1"/>
    <col min="23" max="23" width="8" bestFit="1" customWidth="1"/>
    <col min="24" max="24" width="6" bestFit="1" customWidth="1"/>
    <col min="25" max="25" width="8" bestFit="1" customWidth="1"/>
    <col min="26" max="26" width="7" bestFit="1" customWidth="1"/>
    <col min="27" max="27" width="6" bestFit="1" customWidth="1"/>
    <col min="28" max="28" width="7" bestFit="1" customWidth="1"/>
    <col min="29" max="29" width="9" bestFit="1" customWidth="1"/>
    <col min="30" max="30" width="7" bestFit="1" customWidth="1"/>
    <col min="31" max="31" width="8" bestFit="1" customWidth="1"/>
    <col min="32" max="32" width="9" bestFit="1" customWidth="1"/>
    <col min="33" max="35" width="7" bestFit="1" customWidth="1"/>
    <col min="36" max="36" width="9" bestFit="1" customWidth="1"/>
    <col min="37" max="37" width="8" bestFit="1" customWidth="1"/>
    <col min="38" max="43" width="7" bestFit="1" customWidth="1"/>
    <col min="44" max="44" width="9" bestFit="1" customWidth="1"/>
    <col min="45" max="45" width="8" bestFit="1" customWidth="1"/>
    <col min="46" max="47" width="5" bestFit="1" customWidth="1"/>
    <col min="48" max="48" width="7" bestFit="1" customWidth="1"/>
    <col min="49" max="50" width="5" bestFit="1" customWidth="1"/>
    <col min="51" max="51" width="8" bestFit="1" customWidth="1"/>
    <col min="52" max="52" width="9" bestFit="1" customWidth="1"/>
    <col min="53" max="53" width="7" bestFit="1" customWidth="1"/>
    <col min="54" max="54" width="8" bestFit="1" customWidth="1"/>
    <col min="55" max="55" width="5" bestFit="1" customWidth="1"/>
    <col min="56" max="56" width="7" bestFit="1" customWidth="1"/>
    <col min="57" max="59" width="8" bestFit="1" customWidth="1"/>
    <col min="60" max="60" width="9" bestFit="1" customWidth="1"/>
    <col min="61" max="61" width="5" bestFit="1" customWidth="1"/>
    <col min="62" max="62" width="8" bestFit="1" customWidth="1"/>
    <col min="63" max="63" width="7" bestFit="1" customWidth="1"/>
    <col min="64" max="65" width="8" bestFit="1" customWidth="1"/>
    <col min="66" max="66" width="7" bestFit="1" customWidth="1"/>
    <col min="67" max="67" width="8" bestFit="1" customWidth="1"/>
    <col min="68" max="68" width="7" bestFit="1" customWidth="1"/>
    <col min="69" max="69" width="9" bestFit="1" customWidth="1"/>
    <col min="70" max="71" width="8" bestFit="1" customWidth="1"/>
    <col min="72" max="72" width="6" bestFit="1" customWidth="1"/>
    <col min="73" max="74" width="7" bestFit="1" customWidth="1"/>
    <col min="75" max="75" width="10" bestFit="1" customWidth="1"/>
    <col min="76" max="76" width="7" bestFit="1" customWidth="1"/>
    <col min="77" max="77" width="6" bestFit="1" customWidth="1"/>
    <col min="78" max="78" width="8" bestFit="1" customWidth="1"/>
    <col min="79" max="79" width="5" bestFit="1" customWidth="1"/>
    <col min="80" max="80" width="7" bestFit="1" customWidth="1"/>
    <col min="81" max="81" width="10" bestFit="1" customWidth="1"/>
    <col min="82" max="82" width="8" bestFit="1" customWidth="1"/>
    <col min="83" max="83" width="7" bestFit="1" customWidth="1"/>
    <col min="84" max="84" width="8" bestFit="1" customWidth="1"/>
    <col min="85" max="90" width="7" bestFit="1" customWidth="1"/>
    <col min="91" max="92" width="8" bestFit="1" customWidth="1"/>
    <col min="93" max="93" width="7" bestFit="1" customWidth="1"/>
    <col min="94" max="94" width="8" bestFit="1" customWidth="1"/>
    <col min="95" max="95" width="10" bestFit="1" customWidth="1"/>
    <col min="96" max="96" width="8" bestFit="1" customWidth="1"/>
    <col min="97" max="98" width="9" bestFit="1" customWidth="1"/>
    <col min="99" max="99" width="10" bestFit="1" customWidth="1"/>
    <col min="100" max="100" width="9" bestFit="1" customWidth="1"/>
    <col min="101" max="101" width="7" bestFit="1" customWidth="1"/>
    <col min="102" max="102" width="6" bestFit="1" customWidth="1"/>
    <col min="103" max="103" width="7" bestFit="1" customWidth="1"/>
    <col min="104" max="104" width="6" bestFit="1" customWidth="1"/>
    <col min="105" max="105" width="7" bestFit="1" customWidth="1"/>
    <col min="106" max="106" width="10" bestFit="1" customWidth="1"/>
    <col min="107" max="108" width="7" bestFit="1" customWidth="1"/>
    <col min="109" max="110" width="8" bestFit="1" customWidth="1"/>
    <col min="111" max="111" width="7" bestFit="1" customWidth="1"/>
    <col min="112" max="112" width="9" bestFit="1" customWidth="1"/>
    <col min="113" max="114" width="8" bestFit="1" customWidth="1"/>
    <col min="115" max="115" width="7" bestFit="1" customWidth="1"/>
    <col min="116" max="116" width="9" bestFit="1" customWidth="1"/>
    <col min="117" max="117" width="7" bestFit="1" customWidth="1"/>
    <col min="118" max="118" width="5" bestFit="1" customWidth="1"/>
    <col min="119" max="119" width="7" bestFit="1" customWidth="1"/>
    <col min="120" max="120" width="9" bestFit="1" customWidth="1"/>
    <col min="121" max="121" width="7" bestFit="1" customWidth="1"/>
    <col min="122" max="122" width="6" bestFit="1" customWidth="1"/>
    <col min="123" max="123" width="9" bestFit="1" customWidth="1"/>
    <col min="124" max="124" width="6" bestFit="1" customWidth="1"/>
    <col min="125" max="125" width="8" bestFit="1" customWidth="1"/>
    <col min="126" max="126" width="7" bestFit="1" customWidth="1"/>
    <col min="127" max="127" width="6" bestFit="1" customWidth="1"/>
    <col min="128" max="128" width="10" bestFit="1" customWidth="1"/>
    <col min="129" max="129" width="8" bestFit="1" customWidth="1"/>
    <col min="130" max="131" width="10" bestFit="1" customWidth="1"/>
    <col min="132" max="134" width="7" bestFit="1" customWidth="1"/>
    <col min="135" max="136" width="8" bestFit="1" customWidth="1"/>
    <col min="137" max="137" width="6" bestFit="1" customWidth="1"/>
    <col min="138" max="138" width="7" bestFit="1" customWidth="1"/>
    <col min="139" max="139" width="10" bestFit="1" customWidth="1"/>
    <col min="140" max="141" width="7" bestFit="1" customWidth="1"/>
    <col min="142" max="142" width="9" bestFit="1" customWidth="1"/>
    <col min="143" max="144" width="8" bestFit="1" customWidth="1"/>
    <col min="145" max="146" width="7" bestFit="1" customWidth="1"/>
    <col min="147" max="147" width="9" bestFit="1" customWidth="1"/>
    <col min="148" max="148" width="7" bestFit="1" customWidth="1"/>
    <col min="149" max="149" width="9" bestFit="1" customWidth="1"/>
    <col min="150" max="150" width="7" bestFit="1" customWidth="1"/>
    <col min="151" max="151" width="8" bestFit="1" customWidth="1"/>
    <col min="152" max="152" width="6" bestFit="1" customWidth="1"/>
    <col min="153" max="155" width="8" bestFit="1" customWidth="1"/>
    <col min="156" max="156" width="7" bestFit="1" customWidth="1"/>
    <col min="157" max="158" width="9" bestFit="1" customWidth="1"/>
    <col min="159" max="163" width="7" bestFit="1" customWidth="1"/>
    <col min="164" max="164" width="8" bestFit="1" customWidth="1"/>
    <col min="165" max="165" width="7" bestFit="1" customWidth="1"/>
    <col min="166" max="167" width="8" bestFit="1" customWidth="1"/>
    <col min="168" max="168" width="9" bestFit="1" customWidth="1"/>
    <col min="169" max="169" width="8" bestFit="1" customWidth="1"/>
    <col min="170" max="170" width="7" bestFit="1" customWidth="1"/>
    <col min="171" max="171" width="9" bestFit="1" customWidth="1"/>
    <col min="172" max="172" width="6" bestFit="1" customWidth="1"/>
    <col min="173" max="173" width="8" bestFit="1" customWidth="1"/>
    <col min="174" max="174" width="6" bestFit="1" customWidth="1"/>
    <col min="175" max="175" width="8" bestFit="1" customWidth="1"/>
    <col min="176" max="176" width="9" bestFit="1" customWidth="1"/>
    <col min="177" max="177" width="8" bestFit="1" customWidth="1"/>
    <col min="178" max="179" width="7" bestFit="1" customWidth="1"/>
    <col min="180" max="180" width="8" bestFit="1" customWidth="1"/>
    <col min="181" max="181" width="7" bestFit="1" customWidth="1"/>
    <col min="182" max="182" width="9" bestFit="1" customWidth="1"/>
    <col min="183" max="185" width="7" bestFit="1" customWidth="1"/>
    <col min="186" max="186" width="8" bestFit="1" customWidth="1"/>
    <col min="187" max="187" width="7" bestFit="1" customWidth="1"/>
    <col min="188" max="190" width="8" bestFit="1" customWidth="1"/>
    <col min="191" max="191" width="7" bestFit="1" customWidth="1"/>
    <col min="192" max="193" width="8" bestFit="1" customWidth="1"/>
    <col min="194" max="194" width="6" bestFit="1" customWidth="1"/>
    <col min="195" max="196" width="7" bestFit="1" customWidth="1"/>
    <col min="197" max="197" width="8" bestFit="1" customWidth="1"/>
    <col min="198" max="198" width="7" bestFit="1" customWidth="1"/>
    <col min="199" max="199" width="9" bestFit="1" customWidth="1"/>
    <col min="200" max="201" width="8" bestFit="1" customWidth="1"/>
    <col min="202" max="202" width="6" bestFit="1" customWidth="1"/>
    <col min="203" max="203" width="9" bestFit="1" customWidth="1"/>
    <col min="204" max="204" width="6" bestFit="1" customWidth="1"/>
    <col min="205" max="205" width="7" bestFit="1" customWidth="1"/>
    <col min="206" max="207" width="8" bestFit="1" customWidth="1"/>
    <col min="208" max="208" width="7" bestFit="1" customWidth="1"/>
    <col min="209" max="209" width="10" bestFit="1" customWidth="1"/>
    <col min="210" max="211" width="7" bestFit="1" customWidth="1"/>
    <col min="212" max="212" width="9" bestFit="1" customWidth="1"/>
    <col min="213" max="213" width="7" bestFit="1" customWidth="1"/>
    <col min="214" max="215" width="9" bestFit="1" customWidth="1"/>
    <col min="216" max="216" width="6" bestFit="1" customWidth="1"/>
    <col min="217" max="217" width="8" bestFit="1" customWidth="1"/>
    <col min="218" max="218" width="10" bestFit="1" customWidth="1"/>
    <col min="219" max="219" width="6" bestFit="1" customWidth="1"/>
    <col min="220" max="220" width="9" bestFit="1" customWidth="1"/>
    <col min="221" max="222" width="7" bestFit="1" customWidth="1"/>
    <col min="223" max="223" width="9" bestFit="1" customWidth="1"/>
    <col min="224" max="225" width="7" bestFit="1" customWidth="1"/>
    <col min="226" max="226" width="8" bestFit="1" customWidth="1"/>
    <col min="227" max="227" width="10" bestFit="1" customWidth="1"/>
    <col min="228" max="228" width="9" bestFit="1" customWidth="1"/>
    <col min="229" max="229" width="8" bestFit="1" customWidth="1"/>
    <col min="230" max="230" width="7" bestFit="1" customWidth="1"/>
    <col min="231" max="231" width="8" bestFit="1" customWidth="1"/>
    <col min="232" max="232" width="7" bestFit="1" customWidth="1"/>
    <col min="233" max="233" width="8" bestFit="1" customWidth="1"/>
    <col min="234" max="234" width="6" bestFit="1" customWidth="1"/>
    <col min="235" max="235" width="8" bestFit="1" customWidth="1"/>
    <col min="236" max="236" width="9" bestFit="1" customWidth="1"/>
    <col min="237" max="237" width="10" bestFit="1" customWidth="1"/>
    <col min="238" max="238" width="8" bestFit="1" customWidth="1"/>
    <col min="239" max="239" width="6" bestFit="1" customWidth="1"/>
    <col min="240" max="240" width="7" bestFit="1" customWidth="1"/>
    <col min="241" max="241" width="6" bestFit="1" customWidth="1"/>
    <col min="242" max="242" width="8" bestFit="1" customWidth="1"/>
    <col min="243" max="243" width="6" bestFit="1" customWidth="1"/>
    <col min="244" max="244" width="7" bestFit="1" customWidth="1"/>
    <col min="245" max="246" width="6" bestFit="1" customWidth="1"/>
    <col min="247" max="247" width="7" bestFit="1" customWidth="1"/>
    <col min="248" max="248" width="6" bestFit="1" customWidth="1"/>
    <col min="249" max="250" width="8" bestFit="1" customWidth="1"/>
    <col min="251" max="251" width="7" bestFit="1" customWidth="1"/>
    <col min="252" max="253" width="9" bestFit="1" customWidth="1"/>
    <col min="254" max="254" width="8" bestFit="1" customWidth="1"/>
    <col min="255" max="256" width="9" bestFit="1" customWidth="1"/>
    <col min="257" max="258" width="7" bestFit="1" customWidth="1"/>
    <col min="259" max="259" width="9" bestFit="1" customWidth="1"/>
    <col min="260" max="260" width="7" bestFit="1" customWidth="1"/>
    <col min="261" max="261" width="9" bestFit="1" customWidth="1"/>
    <col min="262" max="262" width="8" bestFit="1" customWidth="1"/>
    <col min="263" max="263" width="7" bestFit="1" customWidth="1"/>
    <col min="264" max="264" width="10" bestFit="1" customWidth="1"/>
    <col min="265" max="265" width="7" bestFit="1" customWidth="1"/>
    <col min="266" max="267" width="10" bestFit="1" customWidth="1"/>
    <col min="268" max="270" width="7" bestFit="1" customWidth="1"/>
    <col min="271" max="271" width="9" bestFit="1" customWidth="1"/>
    <col min="272" max="272" width="6" bestFit="1" customWidth="1"/>
    <col min="273" max="273" width="8" bestFit="1" customWidth="1"/>
    <col min="274" max="275" width="7" bestFit="1" customWidth="1"/>
    <col min="276" max="276" width="6" bestFit="1" customWidth="1"/>
    <col min="277" max="277" width="7" bestFit="1" customWidth="1"/>
    <col min="278" max="278" width="9" bestFit="1" customWidth="1"/>
    <col min="279" max="279" width="7" bestFit="1" customWidth="1"/>
    <col min="280" max="282" width="9" bestFit="1" customWidth="1"/>
    <col min="283" max="283" width="8" bestFit="1" customWidth="1"/>
    <col min="284" max="284" width="7" bestFit="1" customWidth="1"/>
    <col min="285" max="286" width="8" bestFit="1" customWidth="1"/>
    <col min="287" max="287" width="9" bestFit="1" customWidth="1"/>
    <col min="288" max="289" width="8" bestFit="1" customWidth="1"/>
    <col min="290" max="290" width="7" bestFit="1" customWidth="1"/>
    <col min="291" max="291" width="9" bestFit="1" customWidth="1"/>
    <col min="292" max="292" width="6" bestFit="1" customWidth="1"/>
    <col min="293" max="293" width="7" bestFit="1" customWidth="1"/>
    <col min="294" max="294" width="8" bestFit="1" customWidth="1"/>
    <col min="295" max="295" width="7" bestFit="1" customWidth="1"/>
    <col min="296" max="296" width="9" bestFit="1" customWidth="1"/>
    <col min="297" max="297" width="6" bestFit="1" customWidth="1"/>
    <col min="298" max="298" width="7" bestFit="1" customWidth="1"/>
    <col min="299" max="299" width="8" bestFit="1" customWidth="1"/>
    <col min="300" max="300" width="9" bestFit="1" customWidth="1"/>
    <col min="301" max="301" width="6" bestFit="1" customWidth="1"/>
    <col min="302" max="302" width="10" bestFit="1" customWidth="1"/>
    <col min="303" max="304" width="8" bestFit="1" customWidth="1"/>
    <col min="305" max="305" width="10" bestFit="1" customWidth="1"/>
    <col min="306" max="306" width="9" bestFit="1" customWidth="1"/>
    <col min="307" max="311" width="7" bestFit="1" customWidth="1"/>
    <col min="312" max="312" width="9" bestFit="1" customWidth="1"/>
    <col min="313" max="313" width="6" bestFit="1" customWidth="1"/>
    <col min="314" max="314" width="9" bestFit="1" customWidth="1"/>
    <col min="315" max="315" width="7" bestFit="1" customWidth="1"/>
    <col min="316" max="316" width="11" bestFit="1" customWidth="1"/>
    <col min="317" max="317" width="7" bestFit="1" customWidth="1"/>
    <col min="318" max="319" width="8" bestFit="1" customWidth="1"/>
    <col min="320" max="320" width="9" bestFit="1" customWidth="1"/>
    <col min="321" max="321" width="7" bestFit="1" customWidth="1"/>
    <col min="322" max="322" width="8" bestFit="1" customWidth="1"/>
    <col min="323" max="324" width="9" bestFit="1" customWidth="1"/>
    <col min="325" max="326" width="6" bestFit="1" customWidth="1"/>
    <col min="327" max="329" width="9" bestFit="1" customWidth="1"/>
    <col min="330" max="331" width="8" bestFit="1" customWidth="1"/>
    <col min="332" max="332" width="10" bestFit="1" customWidth="1"/>
    <col min="333" max="333" width="9" bestFit="1" customWidth="1"/>
    <col min="334" max="334" width="7" bestFit="1" customWidth="1"/>
    <col min="335" max="337" width="9" bestFit="1" customWidth="1"/>
    <col min="338" max="339" width="8" bestFit="1" customWidth="1"/>
    <col min="340" max="340" width="6" bestFit="1" customWidth="1"/>
    <col min="341" max="341" width="8" bestFit="1" customWidth="1"/>
    <col min="342" max="342" width="6" bestFit="1" customWidth="1"/>
    <col min="343" max="343" width="9" bestFit="1" customWidth="1"/>
    <col min="344" max="344" width="6" bestFit="1" customWidth="1"/>
    <col min="345" max="346" width="8" bestFit="1" customWidth="1"/>
    <col min="347" max="347" width="10" bestFit="1" customWidth="1"/>
    <col min="348" max="349" width="9" bestFit="1" customWidth="1"/>
    <col min="350" max="350" width="10" bestFit="1" customWidth="1"/>
    <col min="351" max="352" width="9" bestFit="1" customWidth="1"/>
    <col min="353" max="353" width="6" bestFit="1" customWidth="1"/>
    <col min="354" max="354" width="9" bestFit="1" customWidth="1"/>
    <col min="355" max="355" width="7" bestFit="1" customWidth="1"/>
    <col min="356" max="356" width="8" bestFit="1" customWidth="1"/>
    <col min="357" max="357" width="6" bestFit="1" customWidth="1"/>
    <col min="358" max="358" width="9" bestFit="1" customWidth="1"/>
    <col min="359" max="360" width="7" bestFit="1" customWidth="1"/>
    <col min="361" max="361" width="10" bestFit="1" customWidth="1"/>
    <col min="362" max="362" width="6" bestFit="1" customWidth="1"/>
    <col min="363" max="363" width="8" bestFit="1" customWidth="1"/>
    <col min="364" max="364" width="7" bestFit="1" customWidth="1"/>
    <col min="365" max="365" width="8" bestFit="1" customWidth="1"/>
    <col min="366" max="367" width="6" bestFit="1" customWidth="1"/>
    <col min="368" max="368" width="8" bestFit="1" customWidth="1"/>
    <col min="369" max="369" width="6" bestFit="1" customWidth="1"/>
    <col min="370" max="373" width="8" bestFit="1" customWidth="1"/>
    <col min="374" max="376" width="9" bestFit="1" customWidth="1"/>
    <col min="377" max="377" width="7" bestFit="1" customWidth="1"/>
    <col min="378" max="378" width="6" bestFit="1" customWidth="1"/>
    <col min="379" max="379" width="8" bestFit="1" customWidth="1"/>
    <col min="380" max="380" width="7" bestFit="1" customWidth="1"/>
    <col min="381" max="382" width="8" bestFit="1" customWidth="1"/>
    <col min="383" max="383" width="6" bestFit="1" customWidth="1"/>
    <col min="384" max="384" width="9" bestFit="1" customWidth="1"/>
    <col min="385" max="385" width="6" bestFit="1" customWidth="1"/>
    <col min="386" max="387" width="7" bestFit="1" customWidth="1"/>
    <col min="388" max="389" width="9" bestFit="1" customWidth="1"/>
    <col min="390" max="390" width="8" bestFit="1" customWidth="1"/>
    <col min="391" max="391" width="9" bestFit="1" customWidth="1"/>
    <col min="392" max="392" width="8" bestFit="1" customWidth="1"/>
    <col min="393" max="394" width="9" bestFit="1" customWidth="1"/>
    <col min="395" max="395" width="8" bestFit="1" customWidth="1"/>
    <col min="396" max="396" width="10" bestFit="1" customWidth="1"/>
    <col min="397" max="397" width="7" bestFit="1" customWidth="1"/>
    <col min="398" max="398" width="8" bestFit="1" customWidth="1"/>
    <col min="399" max="399" width="9" bestFit="1" customWidth="1"/>
    <col min="400" max="400" width="7" bestFit="1" customWidth="1"/>
    <col min="401" max="401" width="9" bestFit="1" customWidth="1"/>
    <col min="402" max="402" width="8" bestFit="1" customWidth="1"/>
    <col min="403" max="403" width="9" bestFit="1" customWidth="1"/>
    <col min="404" max="405" width="8" bestFit="1" customWidth="1"/>
    <col min="406" max="406" width="9" bestFit="1" customWidth="1"/>
    <col min="407" max="407" width="7" bestFit="1" customWidth="1"/>
    <col min="408" max="409" width="9" bestFit="1" customWidth="1"/>
    <col min="410" max="410" width="8" bestFit="1" customWidth="1"/>
    <col min="411" max="411" width="7" bestFit="1" customWidth="1"/>
    <col min="412" max="412" width="6" bestFit="1" customWidth="1"/>
    <col min="413" max="413" width="7" bestFit="1" customWidth="1"/>
    <col min="414" max="414" width="9" bestFit="1" customWidth="1"/>
    <col min="415" max="415" width="8" bestFit="1" customWidth="1"/>
    <col min="416" max="417" width="7" bestFit="1" customWidth="1"/>
    <col min="418" max="418" width="8" bestFit="1" customWidth="1"/>
    <col min="419" max="419" width="6" bestFit="1" customWidth="1"/>
    <col min="420" max="420" width="8" bestFit="1" customWidth="1"/>
    <col min="421" max="421" width="10" bestFit="1" customWidth="1"/>
    <col min="422" max="423" width="9" bestFit="1" customWidth="1"/>
    <col min="424" max="425" width="7" bestFit="1" customWidth="1"/>
    <col min="426" max="426" width="8" bestFit="1" customWidth="1"/>
    <col min="427" max="427" width="9" bestFit="1" customWidth="1"/>
    <col min="428" max="428" width="7" bestFit="1" customWidth="1"/>
    <col min="429" max="429" width="8" bestFit="1" customWidth="1"/>
    <col min="430" max="430" width="9" bestFit="1" customWidth="1"/>
    <col min="431" max="431" width="8" bestFit="1" customWidth="1"/>
    <col min="432" max="432" width="6" bestFit="1" customWidth="1"/>
    <col min="433" max="433" width="7" bestFit="1" customWidth="1"/>
    <col min="434" max="434" width="6" bestFit="1" customWidth="1"/>
    <col min="435" max="439" width="8" bestFit="1" customWidth="1"/>
    <col min="440" max="440" width="7" bestFit="1" customWidth="1"/>
    <col min="441" max="441" width="9" bestFit="1" customWidth="1"/>
    <col min="442" max="442" width="7" bestFit="1" customWidth="1"/>
    <col min="443" max="443" width="8" bestFit="1" customWidth="1"/>
    <col min="444" max="445" width="9" bestFit="1" customWidth="1"/>
    <col min="446" max="447" width="8" bestFit="1" customWidth="1"/>
    <col min="448" max="449" width="9" bestFit="1" customWidth="1"/>
    <col min="450" max="450" width="8" bestFit="1" customWidth="1"/>
    <col min="451" max="451" width="9" bestFit="1" customWidth="1"/>
    <col min="452" max="452" width="7" bestFit="1" customWidth="1"/>
    <col min="453" max="453" width="9" bestFit="1" customWidth="1"/>
    <col min="454" max="455" width="7" bestFit="1" customWidth="1"/>
    <col min="456" max="458" width="9" bestFit="1" customWidth="1"/>
    <col min="459" max="459" width="10" bestFit="1" customWidth="1"/>
    <col min="460" max="461" width="9" bestFit="1" customWidth="1"/>
    <col min="462" max="462" width="6" bestFit="1" customWidth="1"/>
    <col min="463" max="464" width="7" bestFit="1" customWidth="1"/>
    <col min="465" max="465" width="9" bestFit="1" customWidth="1"/>
    <col min="466" max="466" width="8" bestFit="1" customWidth="1"/>
    <col min="467" max="468" width="6" bestFit="1" customWidth="1"/>
    <col min="469" max="470" width="10" bestFit="1" customWidth="1"/>
    <col min="471" max="471" width="8" bestFit="1" customWidth="1"/>
    <col min="472" max="472" width="9" bestFit="1" customWidth="1"/>
    <col min="473" max="473" width="7" bestFit="1" customWidth="1"/>
    <col min="474" max="474" width="8" bestFit="1" customWidth="1"/>
    <col min="475" max="475" width="9" bestFit="1" customWidth="1"/>
    <col min="476" max="476" width="7" bestFit="1" customWidth="1"/>
    <col min="477" max="478" width="9" bestFit="1" customWidth="1"/>
    <col min="479" max="479" width="7" bestFit="1" customWidth="1"/>
    <col min="480" max="480" width="9" bestFit="1" customWidth="1"/>
    <col min="481" max="481" width="6" bestFit="1" customWidth="1"/>
    <col min="482" max="482" width="9" bestFit="1" customWidth="1"/>
    <col min="483" max="483" width="8" bestFit="1" customWidth="1"/>
    <col min="484" max="484" width="7" bestFit="1" customWidth="1"/>
    <col min="485" max="487" width="9" bestFit="1" customWidth="1"/>
    <col min="488" max="489" width="10" bestFit="1" customWidth="1"/>
    <col min="490" max="491" width="9" bestFit="1" customWidth="1"/>
    <col min="492" max="492" width="10" bestFit="1" customWidth="1"/>
    <col min="493" max="493" width="8" bestFit="1" customWidth="1"/>
    <col min="494" max="494" width="7" bestFit="1" customWidth="1"/>
    <col min="495" max="495" width="10" bestFit="1" customWidth="1"/>
    <col min="496" max="496" width="8" bestFit="1" customWidth="1"/>
    <col min="497" max="497" width="10" bestFit="1" customWidth="1"/>
    <col min="498" max="498" width="9" bestFit="1" customWidth="1"/>
    <col min="499" max="499" width="10" bestFit="1" customWidth="1"/>
    <col min="500" max="500" width="8" bestFit="1" customWidth="1"/>
    <col min="501" max="501" width="10" bestFit="1" customWidth="1"/>
    <col min="502" max="504" width="8" bestFit="1" customWidth="1"/>
    <col min="505" max="505" width="9" bestFit="1" customWidth="1"/>
    <col min="506" max="506" width="10" bestFit="1" customWidth="1"/>
    <col min="507" max="508" width="9" bestFit="1" customWidth="1"/>
    <col min="509" max="509" width="11" bestFit="1" customWidth="1"/>
    <col min="510" max="510" width="9" bestFit="1" customWidth="1"/>
    <col min="511" max="511" width="10" bestFit="1" customWidth="1"/>
    <col min="512" max="512" width="16.28515625" bestFit="1" customWidth="1"/>
    <col min="513" max="513" width="5" bestFit="1" customWidth="1"/>
    <col min="514" max="514" width="6" bestFit="1" customWidth="1"/>
    <col min="515" max="515" width="4" bestFit="1" customWidth="1"/>
    <col min="516" max="517" width="7" bestFit="1" customWidth="1"/>
    <col min="518" max="518" width="5" bestFit="1" customWidth="1"/>
    <col min="519" max="519" width="4" bestFit="1" customWidth="1"/>
    <col min="520" max="520" width="7" bestFit="1" customWidth="1"/>
    <col min="521" max="522" width="5" bestFit="1" customWidth="1"/>
    <col min="523" max="524" width="6" bestFit="1" customWidth="1"/>
    <col min="525" max="525" width="5" bestFit="1" customWidth="1"/>
    <col min="526" max="527" width="6" bestFit="1" customWidth="1"/>
    <col min="528" max="528" width="4" bestFit="1" customWidth="1"/>
    <col min="529" max="529" width="8" bestFit="1" customWidth="1"/>
    <col min="530" max="530" width="7" bestFit="1" customWidth="1"/>
    <col min="531" max="531" width="6" bestFit="1" customWidth="1"/>
    <col min="532" max="532" width="5" bestFit="1" customWidth="1"/>
    <col min="533" max="533" width="6" bestFit="1" customWidth="1"/>
    <col min="534" max="534" width="5" bestFit="1" customWidth="1"/>
    <col min="535" max="535" width="7" bestFit="1" customWidth="1"/>
    <col min="536" max="536" width="6" bestFit="1" customWidth="1"/>
    <col min="537" max="537" width="4" bestFit="1" customWidth="1"/>
    <col min="538" max="538" width="5" bestFit="1" customWidth="1"/>
    <col min="539" max="539" width="8" bestFit="1" customWidth="1"/>
    <col min="540" max="541" width="6" bestFit="1" customWidth="1"/>
    <col min="542" max="542" width="7" bestFit="1" customWidth="1"/>
    <col min="543" max="545" width="6" bestFit="1" customWidth="1"/>
    <col min="546" max="546" width="8" bestFit="1" customWidth="1"/>
    <col min="547" max="548" width="7" bestFit="1" customWidth="1"/>
    <col min="549" max="551" width="6" bestFit="1" customWidth="1"/>
    <col min="552" max="552" width="7" bestFit="1" customWidth="1"/>
    <col min="553" max="553" width="6" bestFit="1" customWidth="1"/>
    <col min="554" max="554" width="8" bestFit="1" customWidth="1"/>
    <col min="555" max="555" width="7" bestFit="1" customWidth="1"/>
    <col min="556" max="556" width="4" bestFit="1" customWidth="1"/>
    <col min="557" max="558" width="5" bestFit="1" customWidth="1"/>
    <col min="559" max="560" width="4" bestFit="1" customWidth="1"/>
    <col min="561" max="562" width="7" bestFit="1" customWidth="1"/>
    <col min="563" max="563" width="6" bestFit="1" customWidth="1"/>
    <col min="564" max="564" width="7" bestFit="1" customWidth="1"/>
    <col min="565" max="565" width="4" bestFit="1" customWidth="1"/>
    <col min="566" max="566" width="6" bestFit="1" customWidth="1"/>
    <col min="567" max="569" width="7" bestFit="1" customWidth="1"/>
    <col min="570" max="570" width="8" bestFit="1" customWidth="1"/>
    <col min="571" max="571" width="4" bestFit="1" customWidth="1"/>
    <col min="572" max="572" width="7" bestFit="1" customWidth="1"/>
    <col min="573" max="573" width="6" bestFit="1" customWidth="1"/>
    <col min="574" max="574" width="7" bestFit="1" customWidth="1"/>
    <col min="575" max="576" width="6" bestFit="1" customWidth="1"/>
    <col min="577" max="577" width="7" bestFit="1" customWidth="1"/>
    <col min="578" max="578" width="6" bestFit="1" customWidth="1"/>
    <col min="579" max="579" width="8" bestFit="1" customWidth="1"/>
    <col min="580" max="580" width="7" bestFit="1" customWidth="1"/>
    <col min="581" max="581" width="6" bestFit="1" customWidth="1"/>
    <col min="582" max="582" width="4" bestFit="1" customWidth="1"/>
    <col min="583" max="584" width="6" bestFit="1" customWidth="1"/>
    <col min="585" max="585" width="9" bestFit="1" customWidth="1"/>
    <col min="586" max="586" width="6" bestFit="1" customWidth="1"/>
    <col min="587" max="587" width="5" bestFit="1" customWidth="1"/>
    <col min="588" max="588" width="8" bestFit="1" customWidth="1"/>
    <col min="589" max="590" width="5" bestFit="1" customWidth="1"/>
    <col min="591" max="591" width="9" bestFit="1" customWidth="1"/>
    <col min="592" max="592" width="6" bestFit="1" customWidth="1"/>
    <col min="593" max="595" width="7" bestFit="1" customWidth="1"/>
    <col min="596" max="598" width="6" bestFit="1" customWidth="1"/>
    <col min="599" max="599" width="5" bestFit="1" customWidth="1"/>
    <col min="600" max="600" width="6" bestFit="1" customWidth="1"/>
    <col min="601" max="602" width="7" bestFit="1" customWidth="1"/>
    <col min="603" max="603" width="6" bestFit="1" customWidth="1"/>
    <col min="604" max="604" width="7" bestFit="1" customWidth="1"/>
    <col min="605" max="605" width="9" bestFit="1" customWidth="1"/>
    <col min="606" max="606" width="6" bestFit="1" customWidth="1"/>
    <col min="607" max="607" width="8" bestFit="1" customWidth="1"/>
    <col min="608" max="608" width="7" bestFit="1" customWidth="1"/>
    <col min="609" max="609" width="9" bestFit="1" customWidth="1"/>
    <col min="610" max="610" width="7" bestFit="1" customWidth="1"/>
    <col min="611" max="611" width="4" bestFit="1" customWidth="1"/>
    <col min="612" max="612" width="5" bestFit="1" customWidth="1"/>
    <col min="613" max="613" width="6" bestFit="1" customWidth="1"/>
    <col min="614" max="614" width="5" bestFit="1" customWidth="1"/>
    <col min="615" max="615" width="6" bestFit="1" customWidth="1"/>
    <col min="616" max="616" width="9" bestFit="1" customWidth="1"/>
    <col min="617" max="617" width="6" bestFit="1" customWidth="1"/>
    <col min="618" max="618" width="5" bestFit="1" customWidth="1"/>
    <col min="619" max="619" width="7" bestFit="1" customWidth="1"/>
    <col min="620" max="621" width="6" bestFit="1" customWidth="1"/>
    <col min="622" max="622" width="8" bestFit="1" customWidth="1"/>
    <col min="623" max="624" width="7" bestFit="1" customWidth="1"/>
    <col min="625" max="625" width="6" bestFit="1" customWidth="1"/>
    <col min="626" max="626" width="8" bestFit="1" customWidth="1"/>
    <col min="627" max="627" width="6" bestFit="1" customWidth="1"/>
    <col min="628" max="628" width="4" bestFit="1" customWidth="1"/>
    <col min="629" max="629" width="6" bestFit="1" customWidth="1"/>
    <col min="630" max="630" width="7" bestFit="1" customWidth="1"/>
    <col min="631" max="631" width="6" bestFit="1" customWidth="1"/>
    <col min="632" max="632" width="5" bestFit="1" customWidth="1"/>
    <col min="633" max="633" width="7" bestFit="1" customWidth="1"/>
    <col min="634" max="634" width="4" bestFit="1" customWidth="1"/>
    <col min="635" max="635" width="7" bestFit="1" customWidth="1"/>
    <col min="636" max="636" width="5" bestFit="1" customWidth="1"/>
    <col min="637" max="637" width="4" bestFit="1" customWidth="1"/>
    <col min="638" max="638" width="9" bestFit="1" customWidth="1"/>
    <col min="639" max="639" width="6" bestFit="1" customWidth="1"/>
    <col min="640" max="640" width="8" bestFit="1" customWidth="1"/>
    <col min="641" max="641" width="9" bestFit="1" customWidth="1"/>
    <col min="642" max="642" width="5" bestFit="1" customWidth="1"/>
    <col min="643" max="643" width="4" bestFit="1" customWidth="1"/>
    <col min="644" max="644" width="6" bestFit="1" customWidth="1"/>
    <col min="645" max="646" width="7" bestFit="1" customWidth="1"/>
    <col min="647" max="647" width="4" bestFit="1" customWidth="1"/>
    <col min="648" max="648" width="6" bestFit="1" customWidth="1"/>
    <col min="649" max="649" width="9" bestFit="1" customWidth="1"/>
    <col min="650" max="651" width="6" bestFit="1" customWidth="1"/>
    <col min="652" max="654" width="7" bestFit="1" customWidth="1"/>
    <col min="655" max="655" width="5" bestFit="1" customWidth="1"/>
    <col min="656" max="656" width="6" bestFit="1" customWidth="1"/>
    <col min="657" max="657" width="8" bestFit="1" customWidth="1"/>
    <col min="658" max="658" width="6" bestFit="1" customWidth="1"/>
    <col min="659" max="659" width="8" bestFit="1" customWidth="1"/>
    <col min="660" max="660" width="5" bestFit="1" customWidth="1"/>
    <col min="661" max="661" width="7" bestFit="1" customWidth="1"/>
    <col min="662" max="662" width="5" bestFit="1" customWidth="1"/>
    <col min="663" max="663" width="7" bestFit="1" customWidth="1"/>
    <col min="664" max="665" width="6" bestFit="1" customWidth="1"/>
    <col min="666" max="666" width="5" bestFit="1" customWidth="1"/>
    <col min="667" max="667" width="7" bestFit="1" customWidth="1"/>
    <col min="668" max="668" width="8" bestFit="1" customWidth="1"/>
    <col min="669" max="671" width="6" bestFit="1" customWidth="1"/>
    <col min="672" max="672" width="5" bestFit="1" customWidth="1"/>
    <col min="673" max="674" width="6" bestFit="1" customWidth="1"/>
    <col min="675" max="677" width="7" bestFit="1" customWidth="1"/>
    <col min="678" max="678" width="8" bestFit="1" customWidth="1"/>
    <col min="679" max="679" width="7" bestFit="1" customWidth="1"/>
    <col min="680" max="680" width="6" bestFit="1" customWidth="1"/>
    <col min="681" max="681" width="7" bestFit="1" customWidth="1"/>
    <col min="682" max="682" width="5" bestFit="1" customWidth="1"/>
    <col min="683" max="683" width="7" bestFit="1" customWidth="1"/>
    <col min="684" max="684" width="5" bestFit="1" customWidth="1"/>
    <col min="685" max="685" width="6" bestFit="1" customWidth="1"/>
    <col min="686" max="686" width="8" bestFit="1" customWidth="1"/>
    <col min="687" max="687" width="7" bestFit="1" customWidth="1"/>
    <col min="688" max="689" width="6" bestFit="1" customWidth="1"/>
    <col min="690" max="690" width="7" bestFit="1" customWidth="1"/>
    <col min="691" max="691" width="6" bestFit="1" customWidth="1"/>
    <col min="692" max="692" width="8" bestFit="1" customWidth="1"/>
    <col min="693" max="693" width="6" bestFit="1" customWidth="1"/>
    <col min="694" max="694" width="5" bestFit="1" customWidth="1"/>
    <col min="695" max="695" width="6" bestFit="1" customWidth="1"/>
    <col min="696" max="696" width="7" bestFit="1" customWidth="1"/>
    <col min="697" max="697" width="6" bestFit="1" customWidth="1"/>
    <col min="698" max="698" width="7" bestFit="1" customWidth="1"/>
    <col min="699" max="699" width="6" bestFit="1" customWidth="1"/>
    <col min="700" max="700" width="7" bestFit="1" customWidth="1"/>
    <col min="701" max="701" width="6" bestFit="1" customWidth="1"/>
    <col min="702" max="703" width="7" bestFit="1" customWidth="1"/>
    <col min="704" max="704" width="5" bestFit="1" customWidth="1"/>
    <col min="705" max="706" width="6" bestFit="1" customWidth="1"/>
    <col min="707" max="707" width="7" bestFit="1" customWidth="1"/>
    <col min="708" max="708" width="6" bestFit="1" customWidth="1"/>
    <col min="709" max="709" width="7" bestFit="1" customWidth="1"/>
    <col min="710" max="710" width="6" bestFit="1" customWidth="1"/>
    <col min="711" max="711" width="8" bestFit="1" customWidth="1"/>
    <col min="712" max="712" width="5" bestFit="1" customWidth="1"/>
    <col min="713" max="713" width="8" bestFit="1" customWidth="1"/>
    <col min="714" max="714" width="5" bestFit="1" customWidth="1"/>
    <col min="715" max="716" width="6" bestFit="1" customWidth="1"/>
    <col min="717" max="717" width="7" bestFit="1" customWidth="1"/>
    <col min="718" max="718" width="6" bestFit="1" customWidth="1"/>
    <col min="719" max="719" width="9" bestFit="1" customWidth="1"/>
    <col min="720" max="721" width="6" bestFit="1" customWidth="1"/>
    <col min="722" max="722" width="8" bestFit="1" customWidth="1"/>
    <col min="723" max="724" width="7" bestFit="1" customWidth="1"/>
    <col min="725" max="725" width="8" bestFit="1" customWidth="1"/>
    <col min="726" max="726" width="5" bestFit="1" customWidth="1"/>
    <col min="727" max="727" width="7" bestFit="1" customWidth="1"/>
    <col min="728" max="728" width="9" bestFit="1" customWidth="1"/>
    <col min="729" max="729" width="5" bestFit="1" customWidth="1"/>
    <col min="730" max="730" width="8" bestFit="1" customWidth="1"/>
    <col min="731" max="731" width="6" bestFit="1" customWidth="1"/>
    <col min="732" max="732" width="5" bestFit="1" customWidth="1"/>
    <col min="733" max="733" width="8" bestFit="1" customWidth="1"/>
    <col min="734" max="734" width="6" bestFit="1" customWidth="1"/>
    <col min="735" max="736" width="7" bestFit="1" customWidth="1"/>
    <col min="737" max="738" width="9" bestFit="1" customWidth="1"/>
    <col min="739" max="742" width="6" bestFit="1" customWidth="1"/>
    <col min="743" max="743" width="8" bestFit="1" customWidth="1"/>
    <col min="744" max="744" width="5" bestFit="1" customWidth="1"/>
    <col min="745" max="745" width="7" bestFit="1" customWidth="1"/>
    <col min="746" max="746" width="8" bestFit="1" customWidth="1"/>
    <col min="747" max="748" width="7" bestFit="1" customWidth="1"/>
    <col min="749" max="751" width="5" bestFit="1" customWidth="1"/>
    <col min="752" max="752" width="7" bestFit="1" customWidth="1"/>
    <col min="753" max="753" width="5" bestFit="1" customWidth="1"/>
    <col min="754" max="754" width="6" bestFit="1" customWidth="1"/>
    <col min="755" max="756" width="5" bestFit="1" customWidth="1"/>
    <col min="757" max="757" width="6" bestFit="1" customWidth="1"/>
    <col min="758" max="758" width="5" bestFit="1" customWidth="1"/>
    <col min="759" max="760" width="7" bestFit="1" customWidth="1"/>
    <col min="761" max="761" width="6" bestFit="1" customWidth="1"/>
    <col min="762" max="763" width="8" bestFit="1" customWidth="1"/>
    <col min="764" max="764" width="7" bestFit="1" customWidth="1"/>
    <col min="765" max="766" width="8" bestFit="1" customWidth="1"/>
    <col min="767" max="768" width="6" bestFit="1" customWidth="1"/>
    <col min="769" max="769" width="7" bestFit="1" customWidth="1"/>
    <col min="770" max="770" width="6" bestFit="1" customWidth="1"/>
    <col min="771" max="771" width="8" bestFit="1" customWidth="1"/>
    <col min="772" max="773" width="7" bestFit="1" customWidth="1"/>
    <col min="774" max="774" width="9" bestFit="1" customWidth="1"/>
    <col min="775" max="775" width="6" bestFit="1" customWidth="1"/>
    <col min="776" max="777" width="9" bestFit="1" customWidth="1"/>
    <col min="778" max="778" width="5" bestFit="1" customWidth="1"/>
    <col min="779" max="780" width="6" bestFit="1" customWidth="1"/>
    <col min="781" max="781" width="7" bestFit="1" customWidth="1"/>
    <col min="782" max="782" width="5" bestFit="1" customWidth="1"/>
    <col min="783" max="783" width="7" bestFit="1" customWidth="1"/>
    <col min="784" max="785" width="6" bestFit="1" customWidth="1"/>
    <col min="786" max="787" width="5" bestFit="1" customWidth="1"/>
    <col min="788" max="788" width="8" bestFit="1" customWidth="1"/>
    <col min="789" max="789" width="6" bestFit="1" customWidth="1"/>
    <col min="790" max="793" width="8" bestFit="1" customWidth="1"/>
    <col min="794" max="794" width="5" bestFit="1" customWidth="1"/>
    <col min="795" max="795" width="7" bestFit="1" customWidth="1"/>
    <col min="796" max="796" width="6" bestFit="1" customWidth="1"/>
    <col min="797" max="797" width="8" bestFit="1" customWidth="1"/>
    <col min="798" max="799" width="7" bestFit="1" customWidth="1"/>
    <col min="800" max="800" width="6" bestFit="1" customWidth="1"/>
    <col min="801" max="801" width="7" bestFit="1" customWidth="1"/>
    <col min="802" max="802" width="5" bestFit="1" customWidth="1"/>
    <col min="803" max="805" width="6" bestFit="1" customWidth="1"/>
    <col min="806" max="806" width="8" bestFit="1" customWidth="1"/>
    <col min="807" max="807" width="5" bestFit="1" customWidth="1"/>
    <col min="808" max="808" width="6" bestFit="1" customWidth="1"/>
    <col min="809" max="809" width="7" bestFit="1" customWidth="1"/>
    <col min="810" max="810" width="8" bestFit="1" customWidth="1"/>
    <col min="811" max="811" width="5" bestFit="1" customWidth="1"/>
    <col min="812" max="812" width="8" bestFit="1" customWidth="1"/>
    <col min="813" max="813" width="6" bestFit="1" customWidth="1"/>
    <col min="814" max="814" width="7" bestFit="1" customWidth="1"/>
    <col min="815" max="815" width="9" bestFit="1" customWidth="1"/>
    <col min="816" max="816" width="7" bestFit="1" customWidth="1"/>
    <col min="817" max="821" width="6" bestFit="1" customWidth="1"/>
    <col min="822" max="822" width="8" bestFit="1" customWidth="1"/>
    <col min="823" max="823" width="5" bestFit="1" customWidth="1"/>
    <col min="824" max="824" width="8" bestFit="1" customWidth="1"/>
    <col min="825" max="825" width="6" bestFit="1" customWidth="1"/>
    <col min="826" max="826" width="9" bestFit="1" customWidth="1"/>
    <col min="827" max="828" width="6" bestFit="1" customWidth="1"/>
    <col min="829" max="829" width="7" bestFit="1" customWidth="1"/>
    <col min="830" max="830" width="8" bestFit="1" customWidth="1"/>
    <col min="831" max="831" width="6" bestFit="1" customWidth="1"/>
    <col min="832" max="832" width="7" bestFit="1" customWidth="1"/>
    <col min="833" max="833" width="8" bestFit="1" customWidth="1"/>
    <col min="834" max="834" width="7" bestFit="1" customWidth="1"/>
    <col min="835" max="836" width="5" bestFit="1" customWidth="1"/>
    <col min="837" max="837" width="8" bestFit="1" customWidth="1"/>
    <col min="838" max="838" width="7" bestFit="1" customWidth="1"/>
    <col min="839" max="839" width="8" bestFit="1" customWidth="1"/>
    <col min="840" max="841" width="7" bestFit="1" customWidth="1"/>
    <col min="842" max="842" width="9" bestFit="1" customWidth="1"/>
    <col min="843" max="843" width="7" bestFit="1" customWidth="1"/>
    <col min="844" max="844" width="5" bestFit="1" customWidth="1"/>
    <col min="845" max="845" width="9" bestFit="1" customWidth="1"/>
    <col min="846" max="846" width="8" bestFit="1" customWidth="1"/>
    <col min="847" max="848" width="7" bestFit="1" customWidth="1"/>
    <col min="849" max="849" width="6" bestFit="1" customWidth="1"/>
    <col min="850" max="850" width="5" bestFit="1" customWidth="1"/>
    <col min="851" max="851" width="7" bestFit="1" customWidth="1"/>
    <col min="852" max="852" width="5" bestFit="1" customWidth="1"/>
    <col min="853" max="853" width="8" bestFit="1" customWidth="1"/>
    <col min="854" max="854" width="5" bestFit="1" customWidth="1"/>
    <col min="855" max="855" width="7" bestFit="1" customWidth="1"/>
    <col min="856" max="856" width="6" bestFit="1" customWidth="1"/>
    <col min="857" max="857" width="9" bestFit="1" customWidth="1"/>
    <col min="858" max="858" width="7" bestFit="1" customWidth="1"/>
    <col min="859" max="859" width="8" bestFit="1" customWidth="1"/>
    <col min="860" max="860" width="9" bestFit="1" customWidth="1"/>
    <col min="861" max="862" width="8" bestFit="1" customWidth="1"/>
    <col min="863" max="863" width="5" bestFit="1" customWidth="1"/>
    <col min="864" max="864" width="8" bestFit="1" customWidth="1"/>
    <col min="865" max="866" width="6" bestFit="1" customWidth="1"/>
    <col min="867" max="867" width="5" bestFit="1" customWidth="1"/>
    <col min="868" max="868" width="8" bestFit="1" customWidth="1"/>
    <col min="869" max="870" width="6" bestFit="1" customWidth="1"/>
    <col min="871" max="871" width="9" bestFit="1" customWidth="1"/>
    <col min="872" max="872" width="5" bestFit="1" customWidth="1"/>
    <col min="873" max="874" width="6" bestFit="1" customWidth="1"/>
    <col min="875" max="875" width="7" bestFit="1" customWidth="1"/>
    <col min="876" max="877" width="5" bestFit="1" customWidth="1"/>
    <col min="878" max="878" width="6" bestFit="1" customWidth="1"/>
    <col min="879" max="879" width="5" bestFit="1" customWidth="1"/>
    <col min="880" max="880" width="6" bestFit="1" customWidth="1"/>
    <col min="881" max="881" width="7" bestFit="1" customWidth="1"/>
    <col min="882" max="882" width="6" bestFit="1" customWidth="1"/>
    <col min="883" max="883" width="7" bestFit="1" customWidth="1"/>
    <col min="884" max="884" width="8" bestFit="1" customWidth="1"/>
    <col min="885" max="885" width="9" bestFit="1" customWidth="1"/>
    <col min="886" max="886" width="8" bestFit="1" customWidth="1"/>
    <col min="887" max="887" width="6" bestFit="1" customWidth="1"/>
    <col min="888" max="888" width="5" bestFit="1" customWidth="1"/>
    <col min="889" max="889" width="7" bestFit="1" customWidth="1"/>
    <col min="890" max="890" width="5" bestFit="1" customWidth="1"/>
    <col min="891" max="891" width="7" bestFit="1" customWidth="1"/>
    <col min="892" max="892" width="6" bestFit="1" customWidth="1"/>
    <col min="893" max="893" width="5" bestFit="1" customWidth="1"/>
    <col min="894" max="894" width="8" bestFit="1" customWidth="1"/>
    <col min="895" max="896" width="5" bestFit="1" customWidth="1"/>
    <col min="897" max="897" width="6" bestFit="1" customWidth="1"/>
    <col min="898" max="898" width="8" bestFit="1" customWidth="1"/>
    <col min="899" max="900" width="7" bestFit="1" customWidth="1"/>
    <col min="901" max="901" width="8" bestFit="1" customWidth="1"/>
    <col min="902" max="902" width="7" bestFit="1" customWidth="1"/>
    <col min="903" max="903" width="8" bestFit="1" customWidth="1"/>
    <col min="904" max="904" width="7" bestFit="1" customWidth="1"/>
    <col min="905" max="905" width="6" bestFit="1" customWidth="1"/>
    <col min="906" max="906" width="9" bestFit="1" customWidth="1"/>
    <col min="907" max="907" width="6" bestFit="1" customWidth="1"/>
    <col min="908" max="908" width="7" bestFit="1" customWidth="1"/>
    <col min="909" max="909" width="8" bestFit="1" customWidth="1"/>
    <col min="910" max="910" width="6" bestFit="1" customWidth="1"/>
    <col min="911" max="911" width="8" bestFit="1" customWidth="1"/>
    <col min="912" max="912" width="7" bestFit="1" customWidth="1"/>
    <col min="913" max="913" width="8" bestFit="1" customWidth="1"/>
    <col min="914" max="915" width="7" bestFit="1" customWidth="1"/>
    <col min="916" max="916" width="8" bestFit="1" customWidth="1"/>
    <col min="917" max="917" width="6" bestFit="1" customWidth="1"/>
    <col min="918" max="919" width="8" bestFit="1" customWidth="1"/>
    <col min="920" max="920" width="7" bestFit="1" customWidth="1"/>
    <col min="921" max="922" width="5" bestFit="1" customWidth="1"/>
    <col min="923" max="925" width="7" bestFit="1" customWidth="1"/>
    <col min="926" max="926" width="5" bestFit="1" customWidth="1"/>
    <col min="927" max="927" width="6" bestFit="1" customWidth="1"/>
    <col min="928" max="928" width="7" bestFit="1" customWidth="1"/>
    <col min="929" max="929" width="5" bestFit="1" customWidth="1"/>
    <col min="930" max="930" width="7" bestFit="1" customWidth="1"/>
    <col min="931" max="931" width="9" bestFit="1" customWidth="1"/>
    <col min="932" max="933" width="8" bestFit="1" customWidth="1"/>
    <col min="934" max="936" width="7" bestFit="1" customWidth="1"/>
    <col min="937" max="937" width="8" bestFit="1" customWidth="1"/>
    <col min="938" max="938" width="6" bestFit="1" customWidth="1"/>
    <col min="939" max="939" width="8" bestFit="1" customWidth="1"/>
    <col min="940" max="940" width="9" bestFit="1" customWidth="1"/>
    <col min="941" max="941" width="7" bestFit="1" customWidth="1"/>
    <col min="942" max="942" width="5" bestFit="1" customWidth="1"/>
    <col min="943" max="943" width="7" bestFit="1" customWidth="1"/>
    <col min="944" max="944" width="5" bestFit="1" customWidth="1"/>
    <col min="945" max="949" width="7" bestFit="1" customWidth="1"/>
    <col min="950" max="950" width="6" bestFit="1" customWidth="1"/>
    <col min="951" max="951" width="8" bestFit="1" customWidth="1"/>
    <col min="952" max="952" width="5" bestFit="1" customWidth="1"/>
    <col min="953" max="957" width="7" bestFit="1" customWidth="1"/>
    <col min="958" max="959" width="8" bestFit="1" customWidth="1"/>
    <col min="960" max="960" width="7" bestFit="1" customWidth="1"/>
    <col min="961" max="961" width="8" bestFit="1" customWidth="1"/>
    <col min="962" max="962" width="6" bestFit="1" customWidth="1"/>
    <col min="963" max="963" width="8" bestFit="1" customWidth="1"/>
    <col min="964" max="964" width="6" bestFit="1" customWidth="1"/>
    <col min="965" max="965" width="5" bestFit="1" customWidth="1"/>
    <col min="966" max="968" width="8" bestFit="1" customWidth="1"/>
    <col min="969" max="969" width="9" bestFit="1" customWidth="1"/>
    <col min="970" max="971" width="8" bestFit="1" customWidth="1"/>
    <col min="972" max="972" width="5" bestFit="1" customWidth="1"/>
    <col min="973" max="974" width="6" bestFit="1" customWidth="1"/>
    <col min="975" max="975" width="8" bestFit="1" customWidth="1"/>
    <col min="976" max="976" width="7" bestFit="1" customWidth="1"/>
    <col min="977" max="978" width="5" bestFit="1" customWidth="1"/>
    <col min="979" max="979" width="8" bestFit="1" customWidth="1"/>
    <col min="980" max="980" width="10" bestFit="1" customWidth="1"/>
    <col min="981" max="981" width="6" bestFit="1" customWidth="1"/>
    <col min="982" max="982" width="8" bestFit="1" customWidth="1"/>
    <col min="983" max="984" width="6" bestFit="1" customWidth="1"/>
    <col min="985" max="985" width="8" bestFit="1" customWidth="1"/>
    <col min="986" max="986" width="5" bestFit="1" customWidth="1"/>
    <col min="987" max="988" width="8" bestFit="1" customWidth="1"/>
    <col min="989" max="989" width="6" bestFit="1" customWidth="1"/>
    <col min="990" max="990" width="8" bestFit="1" customWidth="1"/>
    <col min="991" max="991" width="5" bestFit="1" customWidth="1"/>
    <col min="992" max="992" width="8" bestFit="1" customWidth="1"/>
    <col min="993" max="994" width="6" bestFit="1" customWidth="1"/>
    <col min="995" max="997" width="8" bestFit="1" customWidth="1"/>
    <col min="998" max="999" width="9" bestFit="1" customWidth="1"/>
    <col min="1000" max="1001" width="8" bestFit="1" customWidth="1"/>
    <col min="1002" max="1002" width="9" bestFit="1" customWidth="1"/>
    <col min="1003" max="1003" width="6" bestFit="1" customWidth="1"/>
    <col min="1004" max="1004" width="7" bestFit="1" customWidth="1"/>
    <col min="1005" max="1005" width="9" bestFit="1" customWidth="1"/>
    <col min="1006" max="1006" width="7" bestFit="1" customWidth="1"/>
    <col min="1007" max="1007" width="9" bestFit="1" customWidth="1"/>
    <col min="1008" max="1008" width="8" bestFit="1" customWidth="1"/>
    <col min="1009" max="1009" width="9" bestFit="1" customWidth="1"/>
    <col min="1010" max="1010" width="7" bestFit="1" customWidth="1"/>
    <col min="1011" max="1011" width="9" bestFit="1" customWidth="1"/>
    <col min="1012" max="1012" width="7" bestFit="1" customWidth="1"/>
    <col min="1013" max="1013" width="6" bestFit="1" customWidth="1"/>
    <col min="1014" max="1015" width="7" bestFit="1" customWidth="1"/>
    <col min="1016" max="1016" width="9" bestFit="1" customWidth="1"/>
    <col min="1017" max="1017" width="8" bestFit="1" customWidth="1"/>
    <col min="1018" max="1018" width="7" bestFit="1" customWidth="1"/>
    <col min="1019" max="1019" width="10" bestFit="1" customWidth="1"/>
    <col min="1020" max="1021" width="8" bestFit="1" customWidth="1"/>
    <col min="1022" max="1022" width="12.5703125" bestFit="1" customWidth="1"/>
    <col min="1023" max="1023" width="7" bestFit="1" customWidth="1"/>
    <col min="1024" max="1027" width="5" bestFit="1" customWidth="1"/>
    <col min="1028" max="1028" width="6" bestFit="1" customWidth="1"/>
    <col min="1029" max="1030" width="5" bestFit="1" customWidth="1"/>
    <col min="1031" max="1031" width="6" bestFit="1" customWidth="1"/>
    <col min="1032" max="1032" width="5" bestFit="1" customWidth="1"/>
    <col min="1033" max="1033" width="7" bestFit="1" customWidth="1"/>
    <col min="1034" max="1034" width="6" bestFit="1" customWidth="1"/>
    <col min="1035" max="1035" width="7" bestFit="1" customWidth="1"/>
    <col min="1036" max="1039" width="5" bestFit="1" customWidth="1"/>
    <col min="1040" max="1040" width="4" bestFit="1" customWidth="1"/>
    <col min="1041" max="1041" width="5" bestFit="1" customWidth="1"/>
    <col min="1042" max="1045" width="6" bestFit="1" customWidth="1"/>
    <col min="1046" max="1046" width="7" bestFit="1" customWidth="1"/>
    <col min="1047" max="1049" width="6" bestFit="1" customWidth="1"/>
    <col min="1050" max="1053" width="5" bestFit="1" customWidth="1"/>
    <col min="1054" max="1054" width="6" bestFit="1" customWidth="1"/>
    <col min="1055" max="1055" width="5" bestFit="1" customWidth="1"/>
    <col min="1056" max="1056" width="6" bestFit="1" customWidth="1"/>
    <col min="1057" max="1058" width="5" bestFit="1" customWidth="1"/>
    <col min="1059" max="1060" width="7" bestFit="1" customWidth="1"/>
    <col min="1061" max="1061" width="6" bestFit="1" customWidth="1"/>
    <col min="1062" max="1062" width="5" bestFit="1" customWidth="1"/>
    <col min="1063" max="1063" width="7" bestFit="1" customWidth="1"/>
    <col min="1064" max="1067" width="5" bestFit="1" customWidth="1"/>
    <col min="1068" max="1068" width="7" bestFit="1" customWidth="1"/>
    <col min="1069" max="1072" width="5" bestFit="1" customWidth="1"/>
    <col min="1073" max="1073" width="7" bestFit="1" customWidth="1"/>
    <col min="1074" max="1075" width="5" bestFit="1" customWidth="1"/>
    <col min="1076" max="1076" width="7" bestFit="1" customWidth="1"/>
    <col min="1077" max="1077" width="6" bestFit="1" customWidth="1"/>
    <col min="1078" max="1079" width="5" bestFit="1" customWidth="1"/>
    <col min="1080" max="1080" width="6" bestFit="1" customWidth="1"/>
    <col min="1081" max="1082" width="5" bestFit="1" customWidth="1"/>
    <col min="1083" max="1083" width="7" bestFit="1" customWidth="1"/>
    <col min="1084" max="1084" width="6" bestFit="1" customWidth="1"/>
    <col min="1085" max="1085" width="5" bestFit="1" customWidth="1"/>
    <col min="1086" max="1086" width="7" bestFit="1" customWidth="1"/>
    <col min="1087" max="1087" width="5" bestFit="1" customWidth="1"/>
    <col min="1088" max="1088" width="7" bestFit="1" customWidth="1"/>
    <col min="1089" max="1091" width="5" bestFit="1" customWidth="1"/>
    <col min="1092" max="1092" width="6" bestFit="1" customWidth="1"/>
    <col min="1093" max="1095" width="7" bestFit="1" customWidth="1"/>
    <col min="1096" max="1099" width="5" bestFit="1" customWidth="1"/>
    <col min="1100" max="1101" width="7" bestFit="1" customWidth="1"/>
    <col min="1102" max="1102" width="6" bestFit="1" customWidth="1"/>
    <col min="1103" max="1105" width="5" bestFit="1" customWidth="1"/>
    <col min="1106" max="1106" width="7" bestFit="1" customWidth="1"/>
    <col min="1107" max="1107" width="5" bestFit="1" customWidth="1"/>
    <col min="1108" max="1110" width="7" bestFit="1" customWidth="1"/>
    <col min="1111" max="1112" width="6" bestFit="1" customWidth="1"/>
    <col min="1113" max="1113" width="7" bestFit="1" customWidth="1"/>
    <col min="1114" max="1114" width="5" bestFit="1" customWidth="1"/>
    <col min="1115" max="1115" width="7" bestFit="1" customWidth="1"/>
    <col min="1116" max="1116" width="5" bestFit="1" customWidth="1"/>
    <col min="1117" max="1117" width="6" bestFit="1" customWidth="1"/>
    <col min="1118" max="1118" width="5" bestFit="1" customWidth="1"/>
    <col min="1119" max="1121" width="7" bestFit="1" customWidth="1"/>
    <col min="1122" max="1122" width="5" bestFit="1" customWidth="1"/>
    <col min="1123" max="1123" width="7" bestFit="1" customWidth="1"/>
    <col min="1124" max="1124" width="6" bestFit="1" customWidth="1"/>
    <col min="1125" max="1128" width="7" bestFit="1" customWidth="1"/>
    <col min="1129" max="1130" width="5" bestFit="1" customWidth="1"/>
    <col min="1131" max="1132" width="7" bestFit="1" customWidth="1"/>
    <col min="1133" max="1133" width="6" bestFit="1" customWidth="1"/>
    <col min="1134" max="1134" width="5" bestFit="1" customWidth="1"/>
    <col min="1135" max="1136" width="7" bestFit="1" customWidth="1"/>
    <col min="1137" max="1138" width="5" bestFit="1" customWidth="1"/>
    <col min="1139" max="1141" width="7" bestFit="1" customWidth="1"/>
    <col min="1142" max="1142" width="6" bestFit="1" customWidth="1"/>
    <col min="1143" max="1145" width="5" bestFit="1" customWidth="1"/>
    <col min="1146" max="1146" width="7" bestFit="1" customWidth="1"/>
    <col min="1147" max="1147" width="5" bestFit="1" customWidth="1"/>
    <col min="1148" max="1148" width="7" bestFit="1" customWidth="1"/>
    <col min="1149" max="1149" width="5" bestFit="1" customWidth="1"/>
    <col min="1150" max="1154" width="7" bestFit="1" customWidth="1"/>
    <col min="1155" max="1157" width="5" bestFit="1" customWidth="1"/>
    <col min="1158" max="1162" width="7" bestFit="1" customWidth="1"/>
    <col min="1163" max="1163" width="6" bestFit="1" customWidth="1"/>
    <col min="1164" max="1164" width="5" bestFit="1" customWidth="1"/>
    <col min="1165" max="1166" width="7" bestFit="1" customWidth="1"/>
    <col min="1167" max="1168" width="5" bestFit="1" customWidth="1"/>
    <col min="1169" max="1169" width="7" bestFit="1" customWidth="1"/>
    <col min="1170" max="1171" width="5" bestFit="1" customWidth="1"/>
    <col min="1172" max="1173" width="6" bestFit="1" customWidth="1"/>
    <col min="1174" max="1174" width="5" bestFit="1" customWidth="1"/>
    <col min="1175" max="1175" width="6" bestFit="1" customWidth="1"/>
    <col min="1176" max="1176" width="7" bestFit="1" customWidth="1"/>
    <col min="1177" max="1177" width="5" bestFit="1" customWidth="1"/>
    <col min="1178" max="1179" width="7" bestFit="1" customWidth="1"/>
    <col min="1180" max="1180" width="5" bestFit="1" customWidth="1"/>
    <col min="1181" max="1183" width="7" bestFit="1" customWidth="1"/>
    <col min="1184" max="1184" width="5" bestFit="1" customWidth="1"/>
    <col min="1185" max="1185" width="7" bestFit="1" customWidth="1"/>
    <col min="1186" max="1187" width="6" bestFit="1" customWidth="1"/>
    <col min="1188" max="1188" width="7" bestFit="1" customWidth="1"/>
    <col min="1189" max="1189" width="6" bestFit="1" customWidth="1"/>
    <col min="1190" max="1190" width="7" bestFit="1" customWidth="1"/>
    <col min="1191" max="1191" width="5" bestFit="1" customWidth="1"/>
    <col min="1192" max="1195" width="6" bestFit="1" customWidth="1"/>
    <col min="1196" max="1196" width="7" bestFit="1" customWidth="1"/>
    <col min="1197" max="1197" width="6" bestFit="1" customWidth="1"/>
    <col min="1198" max="1199" width="7" bestFit="1" customWidth="1"/>
    <col min="1200" max="1200" width="6" bestFit="1" customWidth="1"/>
    <col min="1201" max="1201" width="7" bestFit="1" customWidth="1"/>
    <col min="1202" max="1202" width="5" bestFit="1" customWidth="1"/>
    <col min="1203" max="1205" width="7" bestFit="1" customWidth="1"/>
    <col min="1206" max="1206" width="6" bestFit="1" customWidth="1"/>
    <col min="1207" max="1207" width="7" bestFit="1" customWidth="1"/>
    <col min="1208" max="1210" width="6" bestFit="1" customWidth="1"/>
    <col min="1211" max="1211" width="7" bestFit="1" customWidth="1"/>
    <col min="1212" max="1212" width="5" bestFit="1" customWidth="1"/>
    <col min="1213" max="1214" width="6" bestFit="1" customWidth="1"/>
    <col min="1215" max="1216" width="7" bestFit="1" customWidth="1"/>
    <col min="1217" max="1217" width="6" bestFit="1" customWidth="1"/>
    <col min="1218" max="1219" width="7" bestFit="1" customWidth="1"/>
    <col min="1220" max="1221" width="5" bestFit="1" customWidth="1"/>
    <col min="1222" max="1222" width="6" bestFit="1" customWidth="1"/>
    <col min="1223" max="1223" width="7" bestFit="1" customWidth="1"/>
    <col min="1224" max="1224" width="6" bestFit="1" customWidth="1"/>
    <col min="1225" max="1225" width="7" bestFit="1" customWidth="1"/>
    <col min="1226" max="1227" width="5" bestFit="1" customWidth="1"/>
    <col min="1228" max="1232" width="7" bestFit="1" customWidth="1"/>
    <col min="1233" max="1233" width="5" bestFit="1" customWidth="1"/>
    <col min="1234" max="1235" width="7" bestFit="1" customWidth="1"/>
    <col min="1236" max="1236" width="5" bestFit="1" customWidth="1"/>
    <col min="1237" max="1238" width="7" bestFit="1" customWidth="1"/>
    <col min="1239" max="1239" width="6" bestFit="1" customWidth="1"/>
    <col min="1240" max="1240" width="5" bestFit="1" customWidth="1"/>
    <col min="1241" max="1242" width="7" bestFit="1" customWidth="1"/>
    <col min="1243" max="1243" width="6" bestFit="1" customWidth="1"/>
    <col min="1244" max="1245" width="7" bestFit="1" customWidth="1"/>
    <col min="1246" max="1246" width="6" bestFit="1" customWidth="1"/>
    <col min="1247" max="1248" width="7" bestFit="1" customWidth="1"/>
    <col min="1249" max="1249" width="5" bestFit="1" customWidth="1"/>
    <col min="1250" max="1250" width="7" bestFit="1" customWidth="1"/>
    <col min="1251" max="1251" width="5" bestFit="1" customWidth="1"/>
    <col min="1252" max="1252" width="7" bestFit="1" customWidth="1"/>
    <col min="1253" max="1254" width="5" bestFit="1" customWidth="1"/>
    <col min="1255" max="1255" width="8" bestFit="1" customWidth="1"/>
    <col min="1256" max="1256" width="6" bestFit="1" customWidth="1"/>
    <col min="1257" max="1257" width="7" bestFit="1" customWidth="1"/>
    <col min="1258" max="1259" width="6" bestFit="1" customWidth="1"/>
    <col min="1260" max="1260" width="7" bestFit="1" customWidth="1"/>
    <col min="1261" max="1263" width="6" bestFit="1" customWidth="1"/>
    <col min="1264" max="1264" width="7" bestFit="1" customWidth="1"/>
    <col min="1265" max="1265" width="5" bestFit="1" customWidth="1"/>
    <col min="1266" max="1266" width="6" bestFit="1" customWidth="1"/>
    <col min="1267" max="1267" width="7" bestFit="1" customWidth="1"/>
    <col min="1268" max="1270" width="6" bestFit="1" customWidth="1"/>
    <col min="1271" max="1272" width="7" bestFit="1" customWidth="1"/>
    <col min="1273" max="1273" width="6" bestFit="1" customWidth="1"/>
    <col min="1274" max="1274" width="5" bestFit="1" customWidth="1"/>
    <col min="1275" max="1275" width="6" bestFit="1" customWidth="1"/>
    <col min="1276" max="1278" width="7" bestFit="1" customWidth="1"/>
    <col min="1279" max="1279" width="5" bestFit="1" customWidth="1"/>
    <col min="1280" max="1280" width="7" bestFit="1" customWidth="1"/>
    <col min="1281" max="1281" width="5" bestFit="1" customWidth="1"/>
    <col min="1282" max="1282" width="6" bestFit="1" customWidth="1"/>
    <col min="1283" max="1290" width="7" bestFit="1" customWidth="1"/>
    <col min="1291" max="1292" width="5" bestFit="1" customWidth="1"/>
    <col min="1293" max="1293" width="6" bestFit="1" customWidth="1"/>
    <col min="1294" max="1295" width="7" bestFit="1" customWidth="1"/>
    <col min="1296" max="1296" width="6" bestFit="1" customWidth="1"/>
    <col min="1297" max="1297" width="7" bestFit="1" customWidth="1"/>
    <col min="1298" max="1298" width="6" bestFit="1" customWidth="1"/>
    <col min="1299" max="1299" width="7" bestFit="1" customWidth="1"/>
    <col min="1300" max="1300" width="6" bestFit="1" customWidth="1"/>
    <col min="1301" max="1301" width="5" bestFit="1" customWidth="1"/>
    <col min="1302" max="1302" width="7" bestFit="1" customWidth="1"/>
    <col min="1303" max="1303" width="6" bestFit="1" customWidth="1"/>
    <col min="1304" max="1304" width="7" bestFit="1" customWidth="1"/>
    <col min="1305" max="1305" width="6" bestFit="1" customWidth="1"/>
    <col min="1306" max="1306" width="5" bestFit="1" customWidth="1"/>
    <col min="1307" max="1307" width="7" bestFit="1" customWidth="1"/>
    <col min="1308" max="1308" width="6" bestFit="1" customWidth="1"/>
    <col min="1309" max="1309" width="5" bestFit="1" customWidth="1"/>
    <col min="1310" max="1311" width="7" bestFit="1" customWidth="1"/>
    <col min="1312" max="1312" width="5" bestFit="1" customWidth="1"/>
    <col min="1313" max="1313" width="7" bestFit="1" customWidth="1"/>
    <col min="1314" max="1314" width="5" bestFit="1" customWidth="1"/>
    <col min="1315" max="1316" width="7" bestFit="1" customWidth="1"/>
    <col min="1317" max="1317" width="6" bestFit="1" customWidth="1"/>
    <col min="1318" max="1318" width="7" bestFit="1" customWidth="1"/>
    <col min="1319" max="1320" width="5" bestFit="1" customWidth="1"/>
    <col min="1321" max="1321" width="6" bestFit="1" customWidth="1"/>
    <col min="1322" max="1322" width="7" bestFit="1" customWidth="1"/>
    <col min="1323" max="1323" width="5" bestFit="1" customWidth="1"/>
    <col min="1324" max="1324" width="6" bestFit="1" customWidth="1"/>
    <col min="1325" max="1325" width="7" bestFit="1" customWidth="1"/>
    <col min="1326" max="1326" width="5" bestFit="1" customWidth="1"/>
    <col min="1327" max="1331" width="7" bestFit="1" customWidth="1"/>
    <col min="1332" max="1332" width="5" bestFit="1" customWidth="1"/>
    <col min="1333" max="1334" width="6" bestFit="1" customWidth="1"/>
    <col min="1335" max="1335" width="7" bestFit="1" customWidth="1"/>
    <col min="1336" max="1336" width="8" bestFit="1" customWidth="1"/>
    <col min="1337" max="1337" width="7" bestFit="1" customWidth="1"/>
    <col min="1338" max="1339" width="6" bestFit="1" customWidth="1"/>
    <col min="1340" max="1340" width="5" bestFit="1" customWidth="1"/>
    <col min="1341" max="1341" width="7" bestFit="1" customWidth="1"/>
    <col min="1342" max="1342" width="6" bestFit="1" customWidth="1"/>
    <col min="1343" max="1345" width="5" bestFit="1" customWidth="1"/>
    <col min="1346" max="1346" width="6" bestFit="1" customWidth="1"/>
    <col min="1347" max="1348" width="5" bestFit="1" customWidth="1"/>
    <col min="1349" max="1351" width="6" bestFit="1" customWidth="1"/>
    <col min="1352" max="1352" width="7" bestFit="1" customWidth="1"/>
    <col min="1353" max="1353" width="5" bestFit="1" customWidth="1"/>
    <col min="1354" max="1356" width="7" bestFit="1" customWidth="1"/>
    <col min="1357" max="1357" width="6" bestFit="1" customWidth="1"/>
    <col min="1358" max="1358" width="5" bestFit="1" customWidth="1"/>
    <col min="1359" max="1359" width="8" bestFit="1" customWidth="1"/>
    <col min="1360" max="1362" width="6" bestFit="1" customWidth="1"/>
    <col min="1363" max="1363" width="7" bestFit="1" customWidth="1"/>
    <col min="1364" max="1365" width="6" bestFit="1" customWidth="1"/>
    <col min="1366" max="1366" width="8" bestFit="1" customWidth="1"/>
    <col min="1367" max="1367" width="7" bestFit="1" customWidth="1"/>
    <col min="1368" max="1369" width="6" bestFit="1" customWidth="1"/>
    <col min="1370" max="1370" width="7" bestFit="1" customWidth="1"/>
    <col min="1371" max="1371" width="5" bestFit="1" customWidth="1"/>
    <col min="1372" max="1372" width="7" bestFit="1" customWidth="1"/>
    <col min="1373" max="1374" width="6" bestFit="1" customWidth="1"/>
    <col min="1375" max="1375" width="7" bestFit="1" customWidth="1"/>
    <col min="1376" max="1376" width="6" bestFit="1" customWidth="1"/>
    <col min="1377" max="1377" width="5" bestFit="1" customWidth="1"/>
    <col min="1378" max="1380" width="7" bestFit="1" customWidth="1"/>
    <col min="1381" max="1381" width="8" bestFit="1" customWidth="1"/>
    <col min="1382" max="1382" width="6" bestFit="1" customWidth="1"/>
    <col min="1383" max="1383" width="8" bestFit="1" customWidth="1"/>
    <col min="1384" max="1384" width="7" bestFit="1" customWidth="1"/>
    <col min="1385" max="1385" width="6" bestFit="1" customWidth="1"/>
    <col min="1386" max="1386" width="5" bestFit="1" customWidth="1"/>
    <col min="1387" max="1387" width="6" bestFit="1" customWidth="1"/>
    <col min="1388" max="1388" width="8" bestFit="1" customWidth="1"/>
    <col min="1389" max="1389" width="6" bestFit="1" customWidth="1"/>
    <col min="1390" max="1390" width="8" bestFit="1" customWidth="1"/>
    <col min="1391" max="1392" width="6" bestFit="1" customWidth="1"/>
    <col min="1393" max="1394" width="5" bestFit="1" customWidth="1"/>
    <col min="1395" max="1395" width="7" bestFit="1" customWidth="1"/>
    <col min="1396" max="1396" width="5" bestFit="1" customWidth="1"/>
    <col min="1397" max="1397" width="7" bestFit="1" customWidth="1"/>
    <col min="1398" max="1399" width="6" bestFit="1" customWidth="1"/>
    <col min="1400" max="1400" width="7" bestFit="1" customWidth="1"/>
    <col min="1401" max="1401" width="8" bestFit="1" customWidth="1"/>
    <col min="1402" max="1405" width="6" bestFit="1" customWidth="1"/>
    <col min="1406" max="1407" width="7" bestFit="1" customWidth="1"/>
    <col min="1408" max="1408" width="5" bestFit="1" customWidth="1"/>
    <col min="1409" max="1411" width="6" bestFit="1" customWidth="1"/>
    <col min="1412" max="1412" width="5" bestFit="1" customWidth="1"/>
    <col min="1413" max="1415" width="6" bestFit="1" customWidth="1"/>
    <col min="1416" max="1417" width="7" bestFit="1" customWidth="1"/>
    <col min="1418" max="1419" width="6" bestFit="1" customWidth="1"/>
    <col min="1420" max="1421" width="7" bestFit="1" customWidth="1"/>
    <col min="1422" max="1422" width="6" bestFit="1" customWidth="1"/>
    <col min="1423" max="1423" width="7" bestFit="1" customWidth="1"/>
    <col min="1424" max="1425" width="6" bestFit="1" customWidth="1"/>
    <col min="1426" max="1429" width="7" bestFit="1" customWidth="1"/>
    <col min="1430" max="1430" width="8" bestFit="1" customWidth="1"/>
    <col min="1431" max="1432" width="6" bestFit="1" customWidth="1"/>
    <col min="1433" max="1433" width="7" bestFit="1" customWidth="1"/>
    <col min="1434" max="1434" width="5" bestFit="1" customWidth="1"/>
    <col min="1435" max="1435" width="6" bestFit="1" customWidth="1"/>
    <col min="1436" max="1437" width="7" bestFit="1" customWidth="1"/>
    <col min="1438" max="1439" width="6" bestFit="1" customWidth="1"/>
    <col min="1440" max="1441" width="7" bestFit="1" customWidth="1"/>
    <col min="1442" max="1443" width="6" bestFit="1" customWidth="1"/>
    <col min="1444" max="1445" width="7" bestFit="1" customWidth="1"/>
    <col min="1446" max="1447" width="6" bestFit="1" customWidth="1"/>
    <col min="1448" max="1448" width="7" bestFit="1" customWidth="1"/>
    <col min="1449" max="1449" width="6" bestFit="1" customWidth="1"/>
    <col min="1450" max="1450" width="7" bestFit="1" customWidth="1"/>
    <col min="1451" max="1452" width="6" bestFit="1" customWidth="1"/>
    <col min="1453" max="1453" width="7" bestFit="1" customWidth="1"/>
    <col min="1454" max="1456" width="6" bestFit="1" customWidth="1"/>
    <col min="1457" max="1457" width="8" bestFit="1" customWidth="1"/>
    <col min="1458" max="1459" width="6" bestFit="1" customWidth="1"/>
    <col min="1460" max="1460" width="7" bestFit="1" customWidth="1"/>
    <col min="1461" max="1461" width="5" bestFit="1" customWidth="1"/>
    <col min="1462" max="1463" width="6" bestFit="1" customWidth="1"/>
    <col min="1464" max="1464" width="7" bestFit="1" customWidth="1"/>
    <col min="1465" max="1465" width="5" bestFit="1" customWidth="1"/>
    <col min="1466" max="1470" width="6" bestFit="1" customWidth="1"/>
    <col min="1471" max="1471" width="5" bestFit="1" customWidth="1"/>
    <col min="1472" max="1472" width="7" bestFit="1" customWidth="1"/>
    <col min="1473" max="1473" width="6" bestFit="1" customWidth="1"/>
    <col min="1474" max="1476" width="7" bestFit="1" customWidth="1"/>
    <col min="1477" max="1478" width="5" bestFit="1" customWidth="1"/>
    <col min="1479" max="1479" width="7" bestFit="1" customWidth="1"/>
    <col min="1480" max="1480" width="6" bestFit="1" customWidth="1"/>
    <col min="1481" max="1481" width="7" bestFit="1" customWidth="1"/>
    <col min="1482" max="1482" width="6" bestFit="1" customWidth="1"/>
    <col min="1483" max="1485" width="7" bestFit="1" customWidth="1"/>
    <col min="1486" max="1487" width="6" bestFit="1" customWidth="1"/>
    <col min="1488" max="1488" width="5" bestFit="1" customWidth="1"/>
    <col min="1489" max="1489" width="8" bestFit="1" customWidth="1"/>
    <col min="1490" max="1490" width="7" bestFit="1" customWidth="1"/>
    <col min="1491" max="1491" width="8" bestFit="1" customWidth="1"/>
    <col min="1492" max="1492" width="6" bestFit="1" customWidth="1"/>
    <col min="1493" max="1493" width="7" bestFit="1" customWidth="1"/>
    <col min="1494" max="1494" width="8" bestFit="1" customWidth="1"/>
    <col min="1495" max="1495" width="6" bestFit="1" customWidth="1"/>
    <col min="1496" max="1496" width="7" bestFit="1" customWidth="1"/>
    <col min="1497" max="1498" width="6" bestFit="1" customWidth="1"/>
    <col min="1499" max="1499" width="7" bestFit="1" customWidth="1"/>
    <col min="1500" max="1501" width="6" bestFit="1" customWidth="1"/>
    <col min="1502" max="1502" width="7" bestFit="1" customWidth="1"/>
    <col min="1503" max="1503" width="8" bestFit="1" customWidth="1"/>
    <col min="1504" max="1506" width="7" bestFit="1" customWidth="1"/>
    <col min="1507" max="1507" width="6" bestFit="1" customWidth="1"/>
    <col min="1508" max="1510" width="7" bestFit="1" customWidth="1"/>
    <col min="1511" max="1511" width="8" bestFit="1" customWidth="1"/>
    <col min="1512" max="1515" width="7" bestFit="1" customWidth="1"/>
    <col min="1516" max="1516" width="8" bestFit="1" customWidth="1"/>
    <col min="1517" max="1517" width="7" bestFit="1" customWidth="1"/>
    <col min="1518" max="1518" width="6" bestFit="1" customWidth="1"/>
    <col min="1519" max="1519" width="7" bestFit="1" customWidth="1"/>
    <col min="1520" max="1520" width="6" bestFit="1" customWidth="1"/>
    <col min="1521" max="1522" width="7" bestFit="1" customWidth="1"/>
    <col min="1523" max="1523" width="6" bestFit="1" customWidth="1"/>
    <col min="1524" max="1524" width="7" bestFit="1" customWidth="1"/>
    <col min="1525" max="1525" width="6" bestFit="1" customWidth="1"/>
    <col min="1526" max="1526" width="7" bestFit="1" customWidth="1"/>
    <col min="1527" max="1527" width="6" bestFit="1" customWidth="1"/>
    <col min="1528" max="1529" width="7" bestFit="1" customWidth="1"/>
    <col min="1530" max="1530" width="6" bestFit="1" customWidth="1"/>
    <col min="1531" max="1531" width="8" bestFit="1" customWidth="1"/>
    <col min="1532" max="1532" width="17.7109375" bestFit="1" customWidth="1"/>
    <col min="1533" max="1533" width="21.42578125" bestFit="1" customWidth="1"/>
    <col min="1534" max="1534" width="17.7109375" bestFit="1" customWidth="1"/>
  </cols>
  <sheetData>
    <row r="3" spans="1:4" x14ac:dyDescent="0.25">
      <c r="A3" s="14" t="s">
        <v>50</v>
      </c>
      <c r="B3" t="s">
        <v>52</v>
      </c>
      <c r="C3" t="s">
        <v>75</v>
      </c>
      <c r="D3" t="s">
        <v>76</v>
      </c>
    </row>
    <row r="4" spans="1:4" x14ac:dyDescent="0.25">
      <c r="A4" s="15" t="s">
        <v>16</v>
      </c>
      <c r="B4" s="16">
        <v>24887654.885000002</v>
      </c>
      <c r="C4" s="16">
        <v>2044508.6149999998</v>
      </c>
      <c r="D4" s="16">
        <v>21358426</v>
      </c>
    </row>
    <row r="5" spans="1:4" x14ac:dyDescent="0.25">
      <c r="A5" s="22" t="s">
        <v>14</v>
      </c>
      <c r="B5" s="16">
        <v>5175888.78</v>
      </c>
      <c r="C5" s="16">
        <v>379497.22000000003</v>
      </c>
      <c r="D5" s="16">
        <v>4372217</v>
      </c>
    </row>
    <row r="6" spans="1:4" x14ac:dyDescent="0.25">
      <c r="A6" s="22" t="s">
        <v>15</v>
      </c>
      <c r="B6" s="16">
        <v>19711766.105</v>
      </c>
      <c r="C6" s="16">
        <v>1665011.3949999998</v>
      </c>
      <c r="D6" s="16">
        <v>16986209</v>
      </c>
    </row>
    <row r="7" spans="1:4" x14ac:dyDescent="0.25">
      <c r="A7" s="15" t="s">
        <v>18</v>
      </c>
      <c r="B7" s="16">
        <v>24354172.280000009</v>
      </c>
      <c r="C7" s="16">
        <v>1727502.2199999997</v>
      </c>
      <c r="D7" s="16">
        <v>20573151.5</v>
      </c>
    </row>
    <row r="8" spans="1:4" x14ac:dyDescent="0.25">
      <c r="A8" s="22" t="s">
        <v>14</v>
      </c>
      <c r="B8" s="16">
        <v>5132795.17</v>
      </c>
      <c r="C8" s="16">
        <v>448087.82999999996</v>
      </c>
      <c r="D8" s="16">
        <v>4321463</v>
      </c>
    </row>
    <row r="9" spans="1:4" x14ac:dyDescent="0.25">
      <c r="A9" s="22" t="s">
        <v>15</v>
      </c>
      <c r="B9" s="16">
        <v>19221377.110000007</v>
      </c>
      <c r="C9" s="16">
        <v>1279414.3899999997</v>
      </c>
      <c r="D9" s="16">
        <v>16251688.5</v>
      </c>
    </row>
    <row r="10" spans="1:4" x14ac:dyDescent="0.25">
      <c r="A10" s="15" t="s">
        <v>19</v>
      </c>
      <c r="B10" s="16">
        <v>23505340.82</v>
      </c>
      <c r="C10" s="16">
        <v>1416126.6800000006</v>
      </c>
      <c r="D10" s="16">
        <v>19824952</v>
      </c>
    </row>
    <row r="11" spans="1:4" x14ac:dyDescent="0.25">
      <c r="A11" s="22" t="s">
        <v>14</v>
      </c>
      <c r="B11" s="16">
        <v>6227735.4699999988</v>
      </c>
      <c r="C11" s="16">
        <v>402529.53</v>
      </c>
      <c r="D11" s="16">
        <v>5109516</v>
      </c>
    </row>
    <row r="12" spans="1:4" x14ac:dyDescent="0.25">
      <c r="A12" s="22" t="s">
        <v>15</v>
      </c>
      <c r="B12" s="16">
        <v>17277605.350000001</v>
      </c>
      <c r="C12" s="16">
        <v>1013597.1500000005</v>
      </c>
      <c r="D12" s="16">
        <v>14715436</v>
      </c>
    </row>
    <row r="13" spans="1:4" x14ac:dyDescent="0.25">
      <c r="A13" s="15" t="s">
        <v>20</v>
      </c>
      <c r="B13" s="16">
        <v>20949352.109999999</v>
      </c>
      <c r="C13" s="16">
        <v>1777582.8900000001</v>
      </c>
      <c r="D13" s="16">
        <v>18041829</v>
      </c>
    </row>
    <row r="14" spans="1:4" x14ac:dyDescent="0.25">
      <c r="A14" s="22" t="s">
        <v>14</v>
      </c>
      <c r="B14" s="16">
        <v>4754421.26</v>
      </c>
      <c r="C14" s="16">
        <v>396479.74000000005</v>
      </c>
      <c r="D14" s="16">
        <v>4161751</v>
      </c>
    </row>
    <row r="15" spans="1:4" x14ac:dyDescent="0.25">
      <c r="A15" s="22" t="s">
        <v>15</v>
      </c>
      <c r="B15" s="16">
        <v>16194930.85</v>
      </c>
      <c r="C15" s="16">
        <v>1381103.1500000001</v>
      </c>
      <c r="D15" s="16">
        <v>13880078</v>
      </c>
    </row>
    <row r="16" spans="1:4" x14ac:dyDescent="0.25">
      <c r="A16" s="15" t="s">
        <v>17</v>
      </c>
      <c r="B16" s="16">
        <v>25029830.165000007</v>
      </c>
      <c r="C16" s="16">
        <v>2239527.835</v>
      </c>
      <c r="D16" s="16">
        <v>22034289.5</v>
      </c>
    </row>
    <row r="17" spans="1:4" x14ac:dyDescent="0.25">
      <c r="A17" s="22" t="s">
        <v>14</v>
      </c>
      <c r="B17" s="16">
        <v>5124414.83</v>
      </c>
      <c r="C17" s="16">
        <v>518937.17</v>
      </c>
      <c r="D17" s="16">
        <v>4571844</v>
      </c>
    </row>
    <row r="18" spans="1:4" x14ac:dyDescent="0.25">
      <c r="A18" s="22" t="s">
        <v>15</v>
      </c>
      <c r="B18" s="16">
        <v>19905415.335000005</v>
      </c>
      <c r="C18" s="16">
        <v>1720590.6649999998</v>
      </c>
      <c r="D18" s="16">
        <v>17462445.5</v>
      </c>
    </row>
    <row r="19" spans="1:4" x14ac:dyDescent="0.25">
      <c r="A19" s="15" t="s">
        <v>51</v>
      </c>
      <c r="B19" s="16">
        <v>118726350.26000002</v>
      </c>
      <c r="C19" s="16">
        <v>9205248.2400000002</v>
      </c>
      <c r="D19" s="16">
        <v>101832648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1"/>
  <sheetViews>
    <sheetView workbookViewId="0">
      <selection activeCell="B18" sqref="B18"/>
    </sheetView>
  </sheetViews>
  <sheetFormatPr defaultRowHeight="15" x14ac:dyDescent="0.25"/>
  <cols>
    <col min="1" max="1" width="16.28515625" customWidth="1"/>
    <col min="2" max="2" width="16.28515625" bestFit="1" customWidth="1"/>
    <col min="3" max="3" width="12.5703125" customWidth="1"/>
    <col min="4" max="5" width="12.5703125" bestFit="1" customWidth="1"/>
    <col min="6" max="7" width="17.7109375" bestFit="1" customWidth="1"/>
  </cols>
  <sheetData>
    <row r="3" spans="1:7" x14ac:dyDescent="0.25">
      <c r="B3" s="14" t="s">
        <v>71</v>
      </c>
    </row>
    <row r="4" spans="1:7" x14ac:dyDescent="0.25">
      <c r="B4" t="s">
        <v>14</v>
      </c>
      <c r="D4" t="s">
        <v>15</v>
      </c>
      <c r="F4" t="s">
        <v>89</v>
      </c>
      <c r="G4" t="s">
        <v>90</v>
      </c>
    </row>
    <row r="5" spans="1:7" x14ac:dyDescent="0.25">
      <c r="A5" s="14" t="s">
        <v>50</v>
      </c>
      <c r="B5" t="s">
        <v>52</v>
      </c>
      <c r="C5" t="s">
        <v>53</v>
      </c>
      <c r="D5" t="s">
        <v>52</v>
      </c>
      <c r="E5" t="s">
        <v>53</v>
      </c>
    </row>
    <row r="6" spans="1:7" x14ac:dyDescent="0.25">
      <c r="A6" s="15" t="s">
        <v>11</v>
      </c>
      <c r="B6" s="16">
        <v>398090.27999999997</v>
      </c>
      <c r="C6" s="16">
        <v>289889.27999999997</v>
      </c>
      <c r="D6" s="16">
        <v>1402503.3599999996</v>
      </c>
      <c r="E6" s="16">
        <v>1026913.8600000001</v>
      </c>
      <c r="F6" s="16">
        <v>1800593.6399999997</v>
      </c>
      <c r="G6" s="16">
        <v>1316803.1400000001</v>
      </c>
    </row>
    <row r="7" spans="1:7" x14ac:dyDescent="0.25">
      <c r="A7" s="15" t="s">
        <v>9</v>
      </c>
      <c r="B7" s="16">
        <v>4049562.5</v>
      </c>
      <c r="C7" s="16">
        <v>-193757.5</v>
      </c>
      <c r="D7" s="16">
        <v>15562131.875</v>
      </c>
      <c r="E7" s="16">
        <v>-420788.125</v>
      </c>
      <c r="F7" s="16">
        <v>19611694.375</v>
      </c>
      <c r="G7" s="16">
        <v>-614545.625</v>
      </c>
    </row>
    <row r="8" spans="1:7" x14ac:dyDescent="0.25">
      <c r="A8" s="15" t="s">
        <v>10</v>
      </c>
      <c r="B8" s="16">
        <v>13085685.280000003</v>
      </c>
      <c r="C8" s="16">
        <v>2886645.2799999993</v>
      </c>
      <c r="D8" s="16">
        <v>39418575.39000003</v>
      </c>
      <c r="E8" s="16">
        <v>8501527.8899999931</v>
      </c>
      <c r="F8" s="16">
        <v>52504260.670000032</v>
      </c>
      <c r="G8" s="16">
        <v>11388173.169999992</v>
      </c>
    </row>
    <row r="9" spans="1:7" x14ac:dyDescent="0.25">
      <c r="A9" s="15" t="s">
        <v>8</v>
      </c>
      <c r="B9" s="16">
        <v>546243.44999999995</v>
      </c>
      <c r="C9" s="16">
        <v>151763.45000000001</v>
      </c>
      <c r="D9" s="16">
        <v>1835639.625</v>
      </c>
      <c r="E9" s="16">
        <v>508339.625</v>
      </c>
      <c r="F9" s="16">
        <v>2381883.0750000002</v>
      </c>
      <c r="G9" s="16">
        <v>660103.07499999995</v>
      </c>
    </row>
    <row r="10" spans="1:7" x14ac:dyDescent="0.25">
      <c r="A10" s="15" t="s">
        <v>7</v>
      </c>
      <c r="B10" s="16">
        <v>8335674</v>
      </c>
      <c r="C10" s="16">
        <v>743924</v>
      </c>
      <c r="D10" s="16">
        <v>34092244.5</v>
      </c>
      <c r="E10" s="16">
        <v>3399244.5</v>
      </c>
      <c r="F10" s="16">
        <v>42427918.5</v>
      </c>
      <c r="G10" s="16">
        <v>4143168.5</v>
      </c>
    </row>
    <row r="11" spans="1:7" x14ac:dyDescent="0.25">
      <c r="A11" s="15" t="s">
        <v>51</v>
      </c>
      <c r="B11" s="16">
        <v>26415255.510000002</v>
      </c>
      <c r="C11" s="16">
        <v>3878464.5099999993</v>
      </c>
      <c r="D11" s="16">
        <v>92311094.75000003</v>
      </c>
      <c r="E11" s="16">
        <v>13015237.749999993</v>
      </c>
      <c r="F11" s="16">
        <v>118726350.26000004</v>
      </c>
      <c r="G11" s="16">
        <v>16893702.25999999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9"/>
  <sheetViews>
    <sheetView workbookViewId="0">
      <selection activeCell="A18" sqref="A18"/>
    </sheetView>
  </sheetViews>
  <sheetFormatPr defaultRowHeight="15" x14ac:dyDescent="0.25"/>
  <cols>
    <col min="1" max="1" width="23.28515625" customWidth="1"/>
    <col min="2" max="2" width="12.28515625" customWidth="1"/>
    <col min="3" max="3" width="13.140625" bestFit="1" customWidth="1"/>
    <col min="4" max="4" width="12.28515625" customWidth="1"/>
    <col min="5" max="5" width="19.85546875" bestFit="1" customWidth="1"/>
    <col min="6" max="6" width="16.140625" bestFit="1" customWidth="1"/>
    <col min="7" max="7" width="16" customWidth="1"/>
  </cols>
  <sheetData>
    <row r="3" spans="1:7" x14ac:dyDescent="0.25">
      <c r="A3" s="14" t="s">
        <v>50</v>
      </c>
      <c r="B3" t="s">
        <v>92</v>
      </c>
      <c r="C3" t="s">
        <v>91</v>
      </c>
      <c r="D3" t="s">
        <v>93</v>
      </c>
      <c r="E3" t="s">
        <v>94</v>
      </c>
      <c r="F3" t="s">
        <v>95</v>
      </c>
      <c r="G3" t="s">
        <v>96</v>
      </c>
    </row>
    <row r="4" spans="1:7" x14ac:dyDescent="0.25">
      <c r="A4" s="15" t="s">
        <v>16</v>
      </c>
      <c r="B4" s="16">
        <v>1285</v>
      </c>
      <c r="C4" s="16">
        <v>140</v>
      </c>
      <c r="D4" s="16">
        <v>1655.08</v>
      </c>
      <c r="E4" s="16">
        <v>14603.632964285713</v>
      </c>
      <c r="F4" s="16">
        <v>25208.777750000001</v>
      </c>
      <c r="G4" s="16">
        <v>7</v>
      </c>
    </row>
    <row r="5" spans="1:7" x14ac:dyDescent="0.25">
      <c r="A5" s="15" t="s">
        <v>18</v>
      </c>
      <c r="B5" s="16">
        <v>918</v>
      </c>
      <c r="C5" s="16">
        <v>140</v>
      </c>
      <c r="D5" s="16">
        <v>1763.8600000000001</v>
      </c>
      <c r="E5" s="16">
        <v>12339.30157142857</v>
      </c>
      <c r="F5" s="16">
        <v>27007.291285714291</v>
      </c>
      <c r="G5" s="16">
        <v>7</v>
      </c>
    </row>
    <row r="6" spans="1:7" x14ac:dyDescent="0.25">
      <c r="A6" s="15" t="s">
        <v>19</v>
      </c>
      <c r="B6" s="16">
        <v>1101</v>
      </c>
      <c r="C6" s="16">
        <v>140</v>
      </c>
      <c r="D6" s="16">
        <v>1685.6</v>
      </c>
      <c r="E6" s="16">
        <v>10115.190571428571</v>
      </c>
      <c r="F6" s="16">
        <v>26288.491571428578</v>
      </c>
      <c r="G6" s="16">
        <v>7</v>
      </c>
    </row>
    <row r="7" spans="1:7" x14ac:dyDescent="0.25">
      <c r="A7" s="15" t="s">
        <v>20</v>
      </c>
      <c r="B7" s="16">
        <v>1101</v>
      </c>
      <c r="C7" s="16">
        <v>140</v>
      </c>
      <c r="D7" s="16">
        <v>2508.66</v>
      </c>
      <c r="E7" s="16">
        <v>12697.020642857144</v>
      </c>
      <c r="F7" s="16">
        <v>20768.022214285716</v>
      </c>
      <c r="G7" s="16">
        <v>7</v>
      </c>
    </row>
    <row r="8" spans="1:7" x14ac:dyDescent="0.25">
      <c r="A8" s="15" t="s">
        <v>17</v>
      </c>
      <c r="B8" s="16">
        <v>1158</v>
      </c>
      <c r="C8" s="16">
        <v>140</v>
      </c>
      <c r="D8" s="16">
        <v>1730.54</v>
      </c>
      <c r="E8" s="16">
        <v>15996.627392857143</v>
      </c>
      <c r="F8" s="16">
        <v>21396.719035714279</v>
      </c>
      <c r="G8" s="16">
        <v>7</v>
      </c>
    </row>
    <row r="9" spans="1:7" x14ac:dyDescent="0.25">
      <c r="A9" s="15" t="s">
        <v>51</v>
      </c>
      <c r="B9" s="16">
        <v>918</v>
      </c>
      <c r="C9" s="16">
        <v>700</v>
      </c>
      <c r="D9" s="16">
        <v>1655.08</v>
      </c>
      <c r="E9" s="16">
        <v>13150.354628571431</v>
      </c>
      <c r="F9" s="16">
        <v>24133.860371428578</v>
      </c>
      <c r="G9" s="16">
        <v>7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selection sqref="A1:Q1"/>
    </sheetView>
  </sheetViews>
  <sheetFormatPr defaultRowHeight="15" x14ac:dyDescent="0.25"/>
  <cols>
    <col min="1" max="1" width="9.140625" style="36"/>
    <col min="2" max="16" width="9.140625" style="37"/>
    <col min="17" max="17" width="9.140625" style="38"/>
  </cols>
  <sheetData>
    <row r="1" spans="1:17" ht="36" x14ac:dyDescent="0.55000000000000004">
      <c r="A1" s="39" t="s">
        <v>100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</row>
  </sheetData>
  <mergeCells count="1">
    <mergeCell ref="A1:Q1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B15" sqref="B15"/>
    </sheetView>
  </sheetViews>
  <sheetFormatPr defaultRowHeight="15" x14ac:dyDescent="0.25"/>
  <cols>
    <col min="1" max="2" width="16.28515625" bestFit="1" customWidth="1"/>
    <col min="3" max="5" width="12.5703125" bestFit="1" customWidth="1"/>
  </cols>
  <sheetData>
    <row r="3" spans="1:5" x14ac:dyDescent="0.25">
      <c r="A3" s="14" t="s">
        <v>50</v>
      </c>
      <c r="B3" t="s">
        <v>74</v>
      </c>
      <c r="C3" t="s">
        <v>52</v>
      </c>
      <c r="D3" t="s">
        <v>76</v>
      </c>
      <c r="E3" t="s">
        <v>53</v>
      </c>
    </row>
    <row r="4" spans="1:5" x14ac:dyDescent="0.25">
      <c r="A4" s="15" t="s">
        <v>11</v>
      </c>
      <c r="B4" s="16">
        <v>1200</v>
      </c>
      <c r="C4" s="16">
        <v>1800593.6399999994</v>
      </c>
      <c r="D4" s="16">
        <v>483790.5</v>
      </c>
      <c r="E4" s="16">
        <v>1316803.1400000001</v>
      </c>
    </row>
    <row r="5" spans="1:5" x14ac:dyDescent="0.25">
      <c r="A5" s="15" t="s">
        <v>9</v>
      </c>
      <c r="B5" s="16">
        <v>12500</v>
      </c>
      <c r="C5" s="16">
        <v>19611694.375</v>
      </c>
      <c r="D5" s="16">
        <v>20226240</v>
      </c>
      <c r="E5" s="16">
        <v>-614545.625</v>
      </c>
    </row>
    <row r="6" spans="1:5" x14ac:dyDescent="0.25">
      <c r="A6" s="15" t="s">
        <v>10</v>
      </c>
      <c r="B6" s="16">
        <v>37700</v>
      </c>
      <c r="C6" s="16">
        <v>52504260.670000039</v>
      </c>
      <c r="D6" s="16">
        <v>41116087.5</v>
      </c>
      <c r="E6" s="16">
        <v>11388173.169999985</v>
      </c>
    </row>
    <row r="7" spans="1:5" x14ac:dyDescent="0.25">
      <c r="A7" s="15" t="s">
        <v>8</v>
      </c>
      <c r="B7" s="16">
        <v>1500</v>
      </c>
      <c r="C7" s="16">
        <v>2381883.0750000002</v>
      </c>
      <c r="D7" s="16">
        <v>1721780</v>
      </c>
      <c r="E7" s="16">
        <v>660103.07499999984</v>
      </c>
    </row>
    <row r="8" spans="1:5" x14ac:dyDescent="0.25">
      <c r="A8" s="15" t="s">
        <v>7</v>
      </c>
      <c r="B8" s="16">
        <v>30000</v>
      </c>
      <c r="C8" s="16">
        <v>42427918.5</v>
      </c>
      <c r="D8" s="16">
        <v>38284750</v>
      </c>
      <c r="E8" s="16">
        <v>4143168.5</v>
      </c>
    </row>
    <row r="9" spans="1:5" x14ac:dyDescent="0.25">
      <c r="A9" s="15" t="s">
        <v>51</v>
      </c>
      <c r="B9" s="16">
        <v>82900</v>
      </c>
      <c r="C9" s="16">
        <v>118726350.26000004</v>
      </c>
      <c r="D9" s="16">
        <v>101832648</v>
      </c>
      <c r="E9" s="16">
        <v>16893702.259999983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selection activeCell="D18" sqref="D18"/>
    </sheetView>
  </sheetViews>
  <sheetFormatPr defaultRowHeight="15" x14ac:dyDescent="0.25"/>
  <cols>
    <col min="1" max="2" width="16.28515625" customWidth="1"/>
    <col min="3" max="3" width="11" customWidth="1"/>
    <col min="4" max="4" width="12" customWidth="1"/>
    <col min="5" max="5" width="5.85546875" customWidth="1"/>
    <col min="6" max="6" width="12" customWidth="1"/>
    <col min="7" max="8" width="11" customWidth="1"/>
    <col min="9" max="9" width="10" customWidth="1"/>
    <col min="10" max="10" width="5.85546875" customWidth="1"/>
    <col min="11" max="11" width="11.7109375" customWidth="1"/>
    <col min="12" max="12" width="11" customWidth="1"/>
    <col min="13" max="14" width="10" customWidth="1"/>
    <col min="15" max="15" width="5.85546875" customWidth="1"/>
    <col min="16" max="16" width="14.140625" bestFit="1" customWidth="1"/>
    <col min="17" max="17" width="11" bestFit="1" customWidth="1"/>
    <col min="18" max="19" width="10" customWidth="1"/>
    <col min="20" max="20" width="5.85546875" customWidth="1"/>
    <col min="21" max="21" width="12.42578125" customWidth="1"/>
    <col min="22" max="22" width="25.28515625" bestFit="1" customWidth="1"/>
    <col min="23" max="23" width="11" customWidth="1"/>
    <col min="24" max="24" width="10" customWidth="1"/>
    <col min="25" max="25" width="5.85546875" customWidth="1"/>
    <col min="26" max="26" width="28.42578125" bestFit="1" customWidth="1"/>
    <col min="27" max="27" width="12" bestFit="1" customWidth="1"/>
  </cols>
  <sheetData>
    <row r="1" spans="1:6" x14ac:dyDescent="0.25">
      <c r="A1" s="14" t="s">
        <v>36</v>
      </c>
      <c r="B1" t="s">
        <v>97</v>
      </c>
    </row>
    <row r="3" spans="1:6" x14ac:dyDescent="0.25">
      <c r="A3" s="14" t="s">
        <v>75</v>
      </c>
      <c r="B3" s="14" t="s">
        <v>71</v>
      </c>
    </row>
    <row r="4" spans="1:6" x14ac:dyDescent="0.25">
      <c r="A4" s="14" t="s">
        <v>50</v>
      </c>
      <c r="B4" t="s">
        <v>48</v>
      </c>
      <c r="C4" t="s">
        <v>46</v>
      </c>
      <c r="D4" t="s">
        <v>47</v>
      </c>
      <c r="E4" t="s">
        <v>45</v>
      </c>
      <c r="F4" t="s">
        <v>51</v>
      </c>
    </row>
    <row r="5" spans="1:6" x14ac:dyDescent="0.25">
      <c r="A5" s="15" t="s">
        <v>11</v>
      </c>
      <c r="B5" s="16">
        <v>81346.619999999966</v>
      </c>
      <c r="C5" s="16">
        <v>9520.5</v>
      </c>
      <c r="D5" s="16">
        <v>43701.24000000002</v>
      </c>
      <c r="E5" s="16">
        <v>0</v>
      </c>
      <c r="F5" s="16">
        <v>134568.35999999999</v>
      </c>
    </row>
    <row r="6" spans="1:6" x14ac:dyDescent="0.25">
      <c r="A6" s="15" t="s">
        <v>9</v>
      </c>
      <c r="B6" s="16">
        <v>920341.25</v>
      </c>
      <c r="C6" s="16">
        <v>162409.375</v>
      </c>
      <c r="D6" s="16">
        <v>374555</v>
      </c>
      <c r="E6" s="16">
        <v>0</v>
      </c>
      <c r="F6" s="16">
        <v>1457305.625</v>
      </c>
    </row>
    <row r="7" spans="1:6" x14ac:dyDescent="0.25">
      <c r="A7" s="15" t="s">
        <v>10</v>
      </c>
      <c r="B7" s="16">
        <v>2314897.3049999988</v>
      </c>
      <c r="C7" s="16">
        <v>423711.92499999999</v>
      </c>
      <c r="D7" s="16">
        <v>1160196.6000000001</v>
      </c>
      <c r="E7" s="16">
        <v>0</v>
      </c>
      <c r="F7" s="16">
        <v>3898805.8299999987</v>
      </c>
    </row>
    <row r="8" spans="1:6" x14ac:dyDescent="0.25">
      <c r="A8" s="15" t="s">
        <v>8</v>
      </c>
      <c r="B8" s="16">
        <v>135818.1</v>
      </c>
      <c r="C8" s="16">
        <v>11827.5</v>
      </c>
      <c r="D8" s="16">
        <v>53141.32499999999</v>
      </c>
      <c r="E8" s="16">
        <v>0</v>
      </c>
      <c r="F8" s="16">
        <v>200786.92499999999</v>
      </c>
    </row>
    <row r="9" spans="1:6" x14ac:dyDescent="0.25">
      <c r="A9" s="15" t="s">
        <v>7</v>
      </c>
      <c r="B9" s="16">
        <v>1864623</v>
      </c>
      <c r="C9" s="16">
        <v>278206.5</v>
      </c>
      <c r="D9" s="16">
        <v>1370952</v>
      </c>
      <c r="E9" s="16">
        <v>0</v>
      </c>
      <c r="F9" s="16">
        <v>3513781.5</v>
      </c>
    </row>
    <row r="10" spans="1:6" x14ac:dyDescent="0.25">
      <c r="A10" s="15" t="s">
        <v>51</v>
      </c>
      <c r="B10" s="16">
        <v>5317026.2749999985</v>
      </c>
      <c r="C10" s="16">
        <v>885675.8</v>
      </c>
      <c r="D10" s="16">
        <v>3002546.165</v>
      </c>
      <c r="E10" s="16">
        <v>0</v>
      </c>
      <c r="F10" s="16">
        <v>9205248.2399999984</v>
      </c>
    </row>
    <row r="19" spans="7:16" ht="21" x14ac:dyDescent="0.35">
      <c r="G19" s="42" t="s">
        <v>99</v>
      </c>
      <c r="H19" s="42"/>
      <c r="I19" s="42"/>
      <c r="J19" s="42"/>
      <c r="K19" s="42"/>
      <c r="L19" s="42"/>
      <c r="M19" s="42"/>
      <c r="N19" s="42"/>
      <c r="O19" s="42"/>
      <c r="P19" s="42"/>
    </row>
  </sheetData>
  <mergeCells count="1">
    <mergeCell ref="G19:P19"/>
  </mergeCells>
  <pageMargins left="0.7" right="0.7" top="0.75" bottom="0.75" header="0.3" footer="0.3"/>
  <pageSetup orientation="portrait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1"/>
  <sheetViews>
    <sheetView workbookViewId="0">
      <selection activeCell="C9" sqref="A3:D11"/>
    </sheetView>
  </sheetViews>
  <sheetFormatPr defaultRowHeight="15" x14ac:dyDescent="0.25"/>
  <cols>
    <col min="1" max="1" width="13.140625" customWidth="1"/>
    <col min="2" max="2" width="16.28515625" customWidth="1"/>
    <col min="3" max="4" width="12" customWidth="1"/>
    <col min="5" max="5" width="11" bestFit="1" customWidth="1"/>
    <col min="6" max="6" width="12" bestFit="1" customWidth="1"/>
    <col min="7" max="7" width="11" bestFit="1" customWidth="1"/>
    <col min="8" max="9" width="10" bestFit="1" customWidth="1"/>
    <col min="10" max="13" width="11" bestFit="1" customWidth="1"/>
    <col min="14" max="14" width="12" bestFit="1" customWidth="1"/>
  </cols>
  <sheetData>
    <row r="3" spans="1:4" x14ac:dyDescent="0.25">
      <c r="A3" s="14" t="s">
        <v>53</v>
      </c>
      <c r="B3" s="14" t="s">
        <v>71</v>
      </c>
    </row>
    <row r="4" spans="1:4" x14ac:dyDescent="0.25">
      <c r="A4" s="14" t="s">
        <v>50</v>
      </c>
      <c r="B4" t="s">
        <v>14</v>
      </c>
      <c r="C4" t="s">
        <v>15</v>
      </c>
      <c r="D4" t="s">
        <v>51</v>
      </c>
    </row>
    <row r="5" spans="1:4" x14ac:dyDescent="0.25">
      <c r="A5" s="15" t="s">
        <v>43</v>
      </c>
      <c r="B5" s="16">
        <v>781949.53</v>
      </c>
      <c r="C5" s="16">
        <v>2032154.5299999998</v>
      </c>
      <c r="D5" s="16">
        <v>2814104.0599999996</v>
      </c>
    </row>
    <row r="6" spans="1:4" x14ac:dyDescent="0.25">
      <c r="A6" s="15" t="s">
        <v>38</v>
      </c>
      <c r="B6" s="16">
        <v>38768.86</v>
      </c>
      <c r="C6" s="16">
        <v>1788036.0250000004</v>
      </c>
      <c r="D6" s="16">
        <v>1826804.8850000005</v>
      </c>
    </row>
    <row r="7" spans="1:4" x14ac:dyDescent="0.25">
      <c r="A7" s="15" t="s">
        <v>39</v>
      </c>
      <c r="B7" s="16">
        <v>457758.03999999986</v>
      </c>
      <c r="C7" s="16">
        <v>1656996.84</v>
      </c>
      <c r="D7" s="16">
        <v>2114754.88</v>
      </c>
    </row>
    <row r="8" spans="1:4" x14ac:dyDescent="0.25">
      <c r="A8" s="15" t="s">
        <v>40</v>
      </c>
      <c r="B8" s="16">
        <v>1099853.0899999999</v>
      </c>
      <c r="C8" s="16">
        <v>3697584.8600000003</v>
      </c>
      <c r="D8" s="16">
        <v>4797437.95</v>
      </c>
    </row>
    <row r="9" spans="1:4" x14ac:dyDescent="0.25">
      <c r="A9" s="15" t="s">
        <v>41</v>
      </c>
      <c r="B9" s="16">
        <v>621949.76</v>
      </c>
      <c r="C9" s="16">
        <v>1684042.7049999996</v>
      </c>
      <c r="D9" s="16">
        <v>2305992.4649999999</v>
      </c>
    </row>
    <row r="10" spans="1:4" x14ac:dyDescent="0.25">
      <c r="A10" s="15" t="s">
        <v>42</v>
      </c>
      <c r="B10" s="16">
        <v>878185.2300000001</v>
      </c>
      <c r="C10" s="16">
        <v>2156422.790000001</v>
      </c>
      <c r="D10" s="16">
        <v>3034608.0200000009</v>
      </c>
    </row>
    <row r="11" spans="1:4" x14ac:dyDescent="0.25">
      <c r="A11" s="15" t="s">
        <v>51</v>
      </c>
      <c r="B11" s="16">
        <v>3878464.5099999993</v>
      </c>
      <c r="C11" s="16">
        <v>13015237.750000002</v>
      </c>
      <c r="D11" s="16">
        <v>16893702.260000002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9"/>
  <sheetViews>
    <sheetView topLeftCell="A2" zoomScale="85" zoomScaleNormal="85" workbookViewId="0">
      <selection activeCell="G699" sqref="A2:P701"/>
    </sheetView>
  </sheetViews>
  <sheetFormatPr defaultRowHeight="15" x14ac:dyDescent="0.25"/>
  <cols>
    <col min="1" max="1" width="17" customWidth="1"/>
    <col min="2" max="2" width="24.28515625" customWidth="1"/>
    <col min="3" max="3" width="11.5703125" style="3" bestFit="1" customWidth="1"/>
    <col min="4" max="4" width="17.42578125" bestFit="1" customWidth="1"/>
    <col min="5" max="5" width="14.28515625" style="1" bestFit="1" customWidth="1"/>
    <col min="6" max="6" width="22.85546875" style="1" bestFit="1" customWidth="1"/>
    <col min="7" max="7" width="13.28515625" style="1" bestFit="1" customWidth="1"/>
    <col min="8" max="8" width="14.7109375" style="1" bestFit="1" customWidth="1"/>
    <col min="9" max="9" width="13.28515625" style="1" bestFit="1" customWidth="1"/>
    <col min="10" max="10" width="14.28515625" style="1" customWidth="1"/>
    <col min="11" max="11" width="13.28515625" customWidth="1"/>
    <col min="12" max="12" width="15.5703125" bestFit="1" customWidth="1"/>
    <col min="13" max="13" width="10.5703125" style="4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  <row r="703" spans="1:16" x14ac:dyDescent="0.25">
      <c r="E703" s="43" t="s">
        <v>98</v>
      </c>
      <c r="F703" s="43"/>
    </row>
    <row r="704" spans="1:16" x14ac:dyDescent="0.25">
      <c r="D704" s="18" t="s">
        <v>54</v>
      </c>
      <c r="E704" s="17">
        <f>SUM(E2:E701)</f>
        <v>1125806</v>
      </c>
      <c r="F704" s="17">
        <f t="shared" ref="F704:L704" si="0">SUM(F2:F701)</f>
        <v>67534</v>
      </c>
      <c r="G704" s="17">
        <f t="shared" si="0"/>
        <v>82900</v>
      </c>
      <c r="H704" s="17">
        <f t="shared" si="0"/>
        <v>127931598.5</v>
      </c>
      <c r="I704" s="17">
        <f t="shared" si="0"/>
        <v>9205248.2400000021</v>
      </c>
      <c r="J704" s="17">
        <f t="shared" si="0"/>
        <v>118726350.25999992</v>
      </c>
      <c r="K704" s="17">
        <f t="shared" si="0"/>
        <v>101832648</v>
      </c>
      <c r="L704" s="17">
        <f t="shared" si="0"/>
        <v>16893702.260000009</v>
      </c>
    </row>
    <row r="705" spans="4:12" x14ac:dyDescent="0.25">
      <c r="D705" s="18" t="s">
        <v>55</v>
      </c>
      <c r="E705" s="17">
        <f>AVERAGE(E2:E701)</f>
        <v>1608.2942857142857</v>
      </c>
      <c r="F705" s="17">
        <f t="shared" ref="F705:L705" si="1">AVERAGE(F2:F701)</f>
        <v>96.477142857142852</v>
      </c>
      <c r="G705" s="17">
        <f t="shared" si="1"/>
        <v>118.42857142857143</v>
      </c>
      <c r="H705" s="17">
        <f t="shared" si="1"/>
        <v>182759.42642857143</v>
      </c>
      <c r="I705" s="17">
        <f t="shared" si="1"/>
        <v>13150.354628571431</v>
      </c>
      <c r="J705" s="17">
        <f t="shared" si="1"/>
        <v>169609.07179999989</v>
      </c>
      <c r="K705" s="17">
        <f t="shared" si="1"/>
        <v>145475.21142857143</v>
      </c>
      <c r="L705" s="17">
        <f t="shared" si="1"/>
        <v>24133.860371428585</v>
      </c>
    </row>
    <row r="706" spans="4:12" x14ac:dyDescent="0.25">
      <c r="D706" s="18" t="s">
        <v>56</v>
      </c>
      <c r="E706" s="17">
        <f>MEDIAN(E2:E701)</f>
        <v>1542.5</v>
      </c>
      <c r="F706" s="17">
        <f t="shared" ref="F706:L706" si="2">MEDIAN(F2:F701)</f>
        <v>10</v>
      </c>
      <c r="G706" s="17">
        <f t="shared" si="2"/>
        <v>20</v>
      </c>
      <c r="H706" s="17">
        <f t="shared" si="2"/>
        <v>37980</v>
      </c>
      <c r="I706" s="17">
        <f t="shared" si="2"/>
        <v>2585.25</v>
      </c>
      <c r="J706" s="17">
        <f t="shared" si="2"/>
        <v>35540.199999999997</v>
      </c>
      <c r="K706" s="17">
        <f t="shared" si="2"/>
        <v>22506.25</v>
      </c>
      <c r="L706" s="17">
        <f t="shared" si="2"/>
        <v>9242.1999999999989</v>
      </c>
    </row>
    <row r="707" spans="4:12" x14ac:dyDescent="0.25">
      <c r="D707" s="18" t="s">
        <v>57</v>
      </c>
      <c r="E707" s="17">
        <f>MODE(E2:E701)</f>
        <v>727</v>
      </c>
      <c r="F707" s="17">
        <f t="shared" ref="F707:L707" si="3">MODE(F2:F701)</f>
        <v>10</v>
      </c>
      <c r="G707" s="17">
        <f t="shared" si="3"/>
        <v>20</v>
      </c>
      <c r="H707" s="17">
        <f t="shared" si="3"/>
        <v>37050</v>
      </c>
      <c r="I707" s="17">
        <f t="shared" si="3"/>
        <v>0</v>
      </c>
      <c r="J707" s="17">
        <f t="shared" si="3"/>
        <v>32670</v>
      </c>
      <c r="K707" s="17">
        <f t="shared" si="3"/>
        <v>17430</v>
      </c>
      <c r="L707" s="17">
        <f t="shared" si="3"/>
        <v>0</v>
      </c>
    </row>
    <row r="708" spans="4:12" x14ac:dyDescent="0.25">
      <c r="D708" s="18" t="s">
        <v>58</v>
      </c>
      <c r="E708" s="17">
        <f>STDEV(E2:E701)</f>
        <v>867.4278590570525</v>
      </c>
      <c r="F708" s="17">
        <f t="shared" ref="F708:L708" si="4">STDEV(F2:F701)</f>
        <v>108.602612186813</v>
      </c>
      <c r="G708" s="17">
        <f t="shared" si="4"/>
        <v>136.7755145691398</v>
      </c>
      <c r="H708" s="17">
        <f t="shared" si="4"/>
        <v>254262.28437834271</v>
      </c>
      <c r="I708" s="17">
        <f t="shared" si="4"/>
        <v>22962.928774797867</v>
      </c>
      <c r="J708" s="17">
        <f t="shared" si="4"/>
        <v>236726.34690976146</v>
      </c>
      <c r="K708" s="17">
        <f t="shared" si="4"/>
        <v>203865.50611847595</v>
      </c>
      <c r="L708" s="17">
        <f t="shared" si="4"/>
        <v>42760.62656331867</v>
      </c>
    </row>
    <row r="709" spans="4:12" x14ac:dyDescent="0.25">
      <c r="D709" s="18" t="s">
        <v>59</v>
      </c>
      <c r="E709" s="17">
        <f>MAX(E2:E701)</f>
        <v>4492.5</v>
      </c>
      <c r="F709" s="17">
        <f t="shared" ref="F709:L709" si="5">MAX(F2:F701)</f>
        <v>260</v>
      </c>
      <c r="G709" s="17">
        <f t="shared" si="5"/>
        <v>350</v>
      </c>
      <c r="H709" s="17">
        <f t="shared" si="5"/>
        <v>1207500</v>
      </c>
      <c r="I709" s="17">
        <f t="shared" si="5"/>
        <v>149677.5</v>
      </c>
      <c r="J709" s="17">
        <f t="shared" si="5"/>
        <v>1159200</v>
      </c>
      <c r="K709" s="17">
        <f t="shared" si="5"/>
        <v>950625</v>
      </c>
      <c r="L709" s="17">
        <f t="shared" si="5"/>
        <v>262200</v>
      </c>
    </row>
  </sheetData>
  <mergeCells count="1">
    <mergeCell ref="E703:F703"/>
  </mergeCells>
  <conditionalFormatting sqref="E1:E70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702 F704:F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E704:E70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9"/>
  <sheetViews>
    <sheetView tabSelected="1" topLeftCell="A6" workbookViewId="0">
      <selection activeCell="L21" sqref="L21"/>
    </sheetView>
  </sheetViews>
  <sheetFormatPr defaultRowHeight="15" x14ac:dyDescent="0.25"/>
  <cols>
    <col min="1" max="1" width="11.5703125" style="3" bestFit="1" customWidth="1"/>
    <col min="2" max="2" width="14.28515625" style="1" bestFit="1" customWidth="1"/>
    <col min="3" max="3" width="13.28515625" style="1" bestFit="1" customWidth="1"/>
    <col min="4" max="4" width="14.7109375" style="1" bestFit="1" customWidth="1"/>
    <col min="5" max="5" width="13.28515625" style="1" bestFit="1" customWidth="1"/>
    <col min="8" max="8" width="9.85546875" bestFit="1" customWidth="1"/>
    <col min="9" max="9" width="20.42578125" bestFit="1" customWidth="1"/>
    <col min="10" max="10" width="11" bestFit="1" customWidth="1"/>
    <col min="11" max="11" width="12.28515625" bestFit="1" customWidth="1"/>
    <col min="12" max="12" width="11" bestFit="1" customWidth="1"/>
  </cols>
  <sheetData>
    <row r="1" spans="1:11" x14ac:dyDescent="0.25">
      <c r="A1" s="34" t="s">
        <v>37</v>
      </c>
      <c r="B1" s="24" t="s">
        <v>4</v>
      </c>
      <c r="C1" s="34" t="s">
        <v>35</v>
      </c>
      <c r="D1" s="34" t="s">
        <v>1</v>
      </c>
      <c r="E1" s="34" t="s">
        <v>2</v>
      </c>
    </row>
    <row r="2" spans="1:11" x14ac:dyDescent="0.25">
      <c r="A2" s="1" t="s">
        <v>43</v>
      </c>
      <c r="B2">
        <v>2750</v>
      </c>
      <c r="C2" s="1">
        <v>350</v>
      </c>
      <c r="D2" s="1">
        <v>962500</v>
      </c>
      <c r="E2" s="1">
        <v>0</v>
      </c>
    </row>
    <row r="3" spans="1:11" x14ac:dyDescent="0.25">
      <c r="A3" s="5" t="s">
        <v>43</v>
      </c>
      <c r="B3">
        <v>1953</v>
      </c>
      <c r="C3" s="1">
        <v>12</v>
      </c>
      <c r="D3" s="1">
        <v>23436</v>
      </c>
      <c r="E3" s="1">
        <v>0</v>
      </c>
    </row>
    <row r="4" spans="1:11" x14ac:dyDescent="0.25">
      <c r="A4" s="5" t="s">
        <v>43</v>
      </c>
      <c r="B4">
        <v>4219.5</v>
      </c>
      <c r="C4" s="1">
        <v>125</v>
      </c>
      <c r="D4" s="1">
        <v>527437.5</v>
      </c>
      <c r="E4" s="1">
        <v>0</v>
      </c>
    </row>
    <row r="5" spans="1:11" x14ac:dyDescent="0.25">
      <c r="A5" s="5" t="s">
        <v>43</v>
      </c>
      <c r="B5">
        <v>1899</v>
      </c>
      <c r="C5" s="1">
        <v>20</v>
      </c>
      <c r="D5" s="1">
        <v>37980</v>
      </c>
      <c r="E5" s="1">
        <v>0</v>
      </c>
    </row>
    <row r="6" spans="1:11" x14ac:dyDescent="0.25">
      <c r="A6" s="5" t="s">
        <v>43</v>
      </c>
      <c r="B6">
        <v>1686</v>
      </c>
      <c r="C6" s="1">
        <v>7</v>
      </c>
      <c r="D6" s="1">
        <v>11802</v>
      </c>
      <c r="E6" s="1">
        <v>0</v>
      </c>
    </row>
    <row r="7" spans="1:11" x14ac:dyDescent="0.25">
      <c r="A7" s="5" t="s">
        <v>43</v>
      </c>
      <c r="B7">
        <v>2141</v>
      </c>
      <c r="C7" s="1">
        <v>12</v>
      </c>
      <c r="D7" s="1">
        <v>25692</v>
      </c>
      <c r="E7" s="1">
        <v>0</v>
      </c>
      <c r="I7" s="35" t="s">
        <v>56</v>
      </c>
    </row>
    <row r="8" spans="1:11" x14ac:dyDescent="0.25">
      <c r="A8" s="5" t="s">
        <v>43</v>
      </c>
      <c r="B8">
        <v>1143</v>
      </c>
      <c r="C8" s="1">
        <v>7</v>
      </c>
      <c r="D8" s="1">
        <v>8001</v>
      </c>
      <c r="E8" s="1">
        <v>0</v>
      </c>
      <c r="G8" t="s">
        <v>37</v>
      </c>
      <c r="H8" t="s">
        <v>4</v>
      </c>
      <c r="I8" t="s">
        <v>35</v>
      </c>
      <c r="J8" t="s">
        <v>1</v>
      </c>
      <c r="K8" t="s">
        <v>2</v>
      </c>
    </row>
    <row r="9" spans="1:11" x14ac:dyDescent="0.25">
      <c r="A9" s="5" t="s">
        <v>43</v>
      </c>
      <c r="B9">
        <v>615</v>
      </c>
      <c r="C9" s="1">
        <v>15</v>
      </c>
      <c r="D9" s="1">
        <v>9225</v>
      </c>
      <c r="E9" s="1">
        <v>0</v>
      </c>
      <c r="G9" t="s">
        <v>38</v>
      </c>
      <c r="H9">
        <v>1513</v>
      </c>
      <c r="I9">
        <v>20</v>
      </c>
      <c r="J9">
        <v>37050</v>
      </c>
      <c r="K9">
        <v>2093.25</v>
      </c>
    </row>
    <row r="10" spans="1:11" x14ac:dyDescent="0.25">
      <c r="A10" s="5" t="s">
        <v>43</v>
      </c>
      <c r="B10">
        <v>1989</v>
      </c>
      <c r="C10" s="1">
        <v>12</v>
      </c>
      <c r="D10" s="1">
        <v>23868</v>
      </c>
      <c r="E10" s="1">
        <v>238.68</v>
      </c>
      <c r="G10" t="s">
        <v>39</v>
      </c>
      <c r="H10">
        <v>1715</v>
      </c>
      <c r="I10">
        <v>20</v>
      </c>
      <c r="J10">
        <v>34500</v>
      </c>
      <c r="K10">
        <v>2506.6799999999998</v>
      </c>
    </row>
    <row r="11" spans="1:11" x14ac:dyDescent="0.25">
      <c r="A11" s="5" t="s">
        <v>43</v>
      </c>
      <c r="B11">
        <v>321</v>
      </c>
      <c r="C11" s="1">
        <v>15</v>
      </c>
      <c r="D11" s="1">
        <v>4815</v>
      </c>
      <c r="E11" s="1">
        <v>48.15</v>
      </c>
      <c r="G11" t="s">
        <v>40</v>
      </c>
      <c r="H11">
        <v>1596</v>
      </c>
      <c r="I11">
        <v>20</v>
      </c>
      <c r="J11">
        <v>34704</v>
      </c>
      <c r="K11">
        <v>2460.88</v>
      </c>
    </row>
    <row r="12" spans="1:11" x14ac:dyDescent="0.25">
      <c r="A12" s="5" t="s">
        <v>43</v>
      </c>
      <c r="B12">
        <v>259</v>
      </c>
      <c r="C12" s="1">
        <v>300</v>
      </c>
      <c r="D12" s="1">
        <v>77700</v>
      </c>
      <c r="E12" s="1">
        <v>1554</v>
      </c>
      <c r="G12" t="s">
        <v>42</v>
      </c>
      <c r="H12">
        <v>1527</v>
      </c>
      <c r="I12">
        <v>20</v>
      </c>
      <c r="J12">
        <v>43125</v>
      </c>
      <c r="K12">
        <v>1989.4</v>
      </c>
    </row>
    <row r="13" spans="1:11" x14ac:dyDescent="0.25">
      <c r="A13" s="5" t="s">
        <v>43</v>
      </c>
      <c r="B13">
        <v>1101</v>
      </c>
      <c r="C13" s="1">
        <v>300</v>
      </c>
      <c r="D13" s="1">
        <v>330300</v>
      </c>
      <c r="E13" s="1">
        <v>6606</v>
      </c>
      <c r="G13" t="s">
        <v>43</v>
      </c>
      <c r="H13">
        <v>1652</v>
      </c>
      <c r="I13">
        <v>20</v>
      </c>
      <c r="J13">
        <v>38100</v>
      </c>
      <c r="K13">
        <v>3951.42</v>
      </c>
    </row>
    <row r="14" spans="1:11" x14ac:dyDescent="0.25">
      <c r="A14" s="5" t="s">
        <v>43</v>
      </c>
      <c r="B14">
        <v>2276</v>
      </c>
      <c r="C14" s="1">
        <v>125</v>
      </c>
      <c r="D14" s="1">
        <v>284500</v>
      </c>
      <c r="E14" s="1">
        <v>5690</v>
      </c>
      <c r="G14" t="s">
        <v>41</v>
      </c>
      <c r="H14">
        <v>1307</v>
      </c>
      <c r="I14">
        <v>20</v>
      </c>
      <c r="J14">
        <v>43125</v>
      </c>
      <c r="K14">
        <v>1989.4</v>
      </c>
    </row>
    <row r="15" spans="1:11" x14ac:dyDescent="0.25">
      <c r="A15" s="5" t="s">
        <v>43</v>
      </c>
      <c r="B15">
        <v>2966</v>
      </c>
      <c r="C15" s="1">
        <v>350</v>
      </c>
      <c r="D15" s="1">
        <v>1038100</v>
      </c>
      <c r="E15" s="1">
        <v>20762</v>
      </c>
    </row>
    <row r="16" spans="1:11" x14ac:dyDescent="0.25">
      <c r="A16" s="5" t="s">
        <v>43</v>
      </c>
      <c r="B16">
        <v>1236</v>
      </c>
      <c r="C16" s="1">
        <v>20</v>
      </c>
      <c r="D16" s="1">
        <v>24720</v>
      </c>
      <c r="E16" s="1">
        <v>494.4</v>
      </c>
    </row>
    <row r="17" spans="1:5" x14ac:dyDescent="0.25">
      <c r="A17" s="5" t="s">
        <v>43</v>
      </c>
      <c r="B17">
        <v>941</v>
      </c>
      <c r="C17" s="1">
        <v>20</v>
      </c>
      <c r="D17" s="1">
        <v>18820</v>
      </c>
      <c r="E17" s="1">
        <v>376.4</v>
      </c>
    </row>
    <row r="18" spans="1:5" x14ac:dyDescent="0.25">
      <c r="A18" s="5" t="s">
        <v>43</v>
      </c>
      <c r="B18">
        <v>1916</v>
      </c>
      <c r="C18" s="1">
        <v>300</v>
      </c>
      <c r="D18" s="1">
        <v>574800</v>
      </c>
      <c r="E18" s="1">
        <v>11496</v>
      </c>
    </row>
    <row r="19" spans="1:5" x14ac:dyDescent="0.25">
      <c r="A19" s="5" t="s">
        <v>43</v>
      </c>
      <c r="B19">
        <v>1865</v>
      </c>
      <c r="C19" s="1">
        <v>350</v>
      </c>
      <c r="D19" s="1">
        <v>652750</v>
      </c>
      <c r="E19" s="1">
        <v>26110</v>
      </c>
    </row>
    <row r="20" spans="1:5" x14ac:dyDescent="0.25">
      <c r="A20" s="5" t="s">
        <v>43</v>
      </c>
      <c r="B20">
        <v>1074</v>
      </c>
      <c r="C20" s="1">
        <v>125</v>
      </c>
      <c r="D20" s="1">
        <v>134250</v>
      </c>
      <c r="E20" s="1">
        <v>5370</v>
      </c>
    </row>
    <row r="21" spans="1:5" x14ac:dyDescent="0.25">
      <c r="A21" s="5" t="s">
        <v>43</v>
      </c>
      <c r="B21">
        <v>1907</v>
      </c>
      <c r="C21" s="1">
        <v>350</v>
      </c>
      <c r="D21" s="1">
        <v>667450</v>
      </c>
      <c r="E21" s="1">
        <v>26698</v>
      </c>
    </row>
    <row r="22" spans="1:5" x14ac:dyDescent="0.25">
      <c r="A22" s="5" t="s">
        <v>43</v>
      </c>
      <c r="B22">
        <v>671</v>
      </c>
      <c r="C22" s="1">
        <v>15</v>
      </c>
      <c r="D22" s="1">
        <v>10065</v>
      </c>
      <c r="E22" s="1">
        <v>402.6</v>
      </c>
    </row>
    <row r="23" spans="1:5" x14ac:dyDescent="0.25">
      <c r="A23" s="5" t="s">
        <v>43</v>
      </c>
      <c r="B23">
        <v>1778</v>
      </c>
      <c r="C23" s="1">
        <v>350</v>
      </c>
      <c r="D23" s="1">
        <v>622300</v>
      </c>
      <c r="E23" s="1">
        <v>24892</v>
      </c>
    </row>
    <row r="24" spans="1:5" x14ac:dyDescent="0.25">
      <c r="A24" s="5" t="s">
        <v>43</v>
      </c>
      <c r="B24">
        <v>1683</v>
      </c>
      <c r="C24" s="1">
        <v>7</v>
      </c>
      <c r="D24" s="1">
        <v>11781</v>
      </c>
      <c r="E24" s="1">
        <v>589.04999999999995</v>
      </c>
    </row>
    <row r="25" spans="1:5" x14ac:dyDescent="0.25">
      <c r="A25" s="5" t="s">
        <v>43</v>
      </c>
      <c r="B25">
        <v>1123</v>
      </c>
      <c r="C25" s="1">
        <v>12</v>
      </c>
      <c r="D25" s="1">
        <v>13476</v>
      </c>
      <c r="E25" s="1">
        <v>673.8</v>
      </c>
    </row>
    <row r="26" spans="1:5" x14ac:dyDescent="0.25">
      <c r="A26" s="5" t="s">
        <v>43</v>
      </c>
      <c r="B26">
        <v>1159</v>
      </c>
      <c r="C26" s="1">
        <v>7</v>
      </c>
      <c r="D26" s="1">
        <v>8113</v>
      </c>
      <c r="E26" s="1">
        <v>405.65</v>
      </c>
    </row>
    <row r="27" spans="1:5" x14ac:dyDescent="0.25">
      <c r="A27" s="5" t="s">
        <v>43</v>
      </c>
      <c r="B27">
        <v>1350</v>
      </c>
      <c r="C27" s="1">
        <v>350</v>
      </c>
      <c r="D27" s="1">
        <v>472500</v>
      </c>
      <c r="E27" s="1">
        <v>23625</v>
      </c>
    </row>
    <row r="28" spans="1:5" x14ac:dyDescent="0.25">
      <c r="A28" s="5" t="s">
        <v>43</v>
      </c>
      <c r="B28">
        <v>552</v>
      </c>
      <c r="C28" s="1">
        <v>350</v>
      </c>
      <c r="D28" s="1">
        <v>193200</v>
      </c>
      <c r="E28" s="1">
        <v>9660</v>
      </c>
    </row>
    <row r="29" spans="1:5" x14ac:dyDescent="0.25">
      <c r="A29" s="5" t="s">
        <v>43</v>
      </c>
      <c r="B29">
        <v>1228</v>
      </c>
      <c r="C29" s="1">
        <v>350</v>
      </c>
      <c r="D29" s="1">
        <v>429800</v>
      </c>
      <c r="E29" s="1">
        <v>21490</v>
      </c>
    </row>
    <row r="30" spans="1:5" x14ac:dyDescent="0.25">
      <c r="A30" s="5" t="s">
        <v>43</v>
      </c>
      <c r="B30">
        <v>1250</v>
      </c>
      <c r="C30" s="1">
        <v>300</v>
      </c>
      <c r="D30" s="1">
        <v>375000</v>
      </c>
      <c r="E30" s="1">
        <v>18750</v>
      </c>
    </row>
    <row r="31" spans="1:5" x14ac:dyDescent="0.25">
      <c r="A31" s="5" t="s">
        <v>43</v>
      </c>
      <c r="B31">
        <v>1987.5</v>
      </c>
      <c r="C31" s="1">
        <v>125</v>
      </c>
      <c r="D31" s="1">
        <v>248437.5</v>
      </c>
      <c r="E31" s="1">
        <v>14906.25</v>
      </c>
    </row>
    <row r="32" spans="1:5" x14ac:dyDescent="0.25">
      <c r="A32" s="5" t="s">
        <v>43</v>
      </c>
      <c r="B32">
        <v>1679</v>
      </c>
      <c r="C32" s="1">
        <v>350</v>
      </c>
      <c r="D32" s="1">
        <v>587650</v>
      </c>
      <c r="E32" s="1">
        <v>35259</v>
      </c>
    </row>
    <row r="33" spans="1:5" x14ac:dyDescent="0.25">
      <c r="A33" s="5" t="s">
        <v>43</v>
      </c>
      <c r="B33">
        <v>727</v>
      </c>
      <c r="C33" s="1">
        <v>350</v>
      </c>
      <c r="D33" s="1">
        <v>254450</v>
      </c>
      <c r="E33" s="1">
        <v>15267</v>
      </c>
    </row>
    <row r="34" spans="1:5" x14ac:dyDescent="0.25">
      <c r="A34" s="5" t="s">
        <v>43</v>
      </c>
      <c r="B34">
        <v>1403</v>
      </c>
      <c r="C34" s="1">
        <v>7</v>
      </c>
      <c r="D34" s="1">
        <v>9821</v>
      </c>
      <c r="E34" s="1">
        <v>589.26</v>
      </c>
    </row>
    <row r="35" spans="1:5" x14ac:dyDescent="0.25">
      <c r="A35" s="5" t="s">
        <v>43</v>
      </c>
      <c r="B35">
        <v>2076</v>
      </c>
      <c r="C35" s="1">
        <v>350</v>
      </c>
      <c r="D35" s="1">
        <v>726600</v>
      </c>
      <c r="E35" s="1">
        <v>43596</v>
      </c>
    </row>
    <row r="36" spans="1:5" x14ac:dyDescent="0.25">
      <c r="A36" s="5" t="s">
        <v>43</v>
      </c>
      <c r="B36">
        <v>1135</v>
      </c>
      <c r="C36" s="1">
        <v>7</v>
      </c>
      <c r="D36" s="1">
        <v>7945</v>
      </c>
      <c r="E36" s="1">
        <v>556.15</v>
      </c>
    </row>
    <row r="37" spans="1:5" x14ac:dyDescent="0.25">
      <c r="A37" s="5" t="s">
        <v>43</v>
      </c>
      <c r="B37">
        <v>1645</v>
      </c>
      <c r="C37" s="1">
        <v>125</v>
      </c>
      <c r="D37" s="1">
        <v>205625</v>
      </c>
      <c r="E37" s="1">
        <v>14393.75</v>
      </c>
    </row>
    <row r="38" spans="1:5" x14ac:dyDescent="0.25">
      <c r="A38" s="5" t="s">
        <v>43</v>
      </c>
      <c r="B38">
        <v>2876</v>
      </c>
      <c r="C38" s="1">
        <v>350</v>
      </c>
      <c r="D38" s="1">
        <v>1006600</v>
      </c>
      <c r="E38" s="1">
        <v>70462</v>
      </c>
    </row>
    <row r="39" spans="1:5" x14ac:dyDescent="0.25">
      <c r="A39" s="5" t="s">
        <v>43</v>
      </c>
      <c r="B39">
        <v>994</v>
      </c>
      <c r="C39" s="1">
        <v>125</v>
      </c>
      <c r="D39" s="1">
        <v>124250</v>
      </c>
      <c r="E39" s="1">
        <v>8697.5</v>
      </c>
    </row>
    <row r="40" spans="1:5" x14ac:dyDescent="0.25">
      <c r="A40" s="5" t="s">
        <v>43</v>
      </c>
      <c r="B40">
        <v>1118</v>
      </c>
      <c r="C40" s="1">
        <v>20</v>
      </c>
      <c r="D40" s="1">
        <v>22360</v>
      </c>
      <c r="E40" s="1">
        <v>1565.2</v>
      </c>
    </row>
    <row r="41" spans="1:5" x14ac:dyDescent="0.25">
      <c r="A41" s="5" t="s">
        <v>43</v>
      </c>
      <c r="B41">
        <v>1372</v>
      </c>
      <c r="C41" s="1">
        <v>300</v>
      </c>
      <c r="D41" s="1">
        <v>411600</v>
      </c>
      <c r="E41" s="1">
        <v>28812</v>
      </c>
    </row>
    <row r="42" spans="1:5" x14ac:dyDescent="0.25">
      <c r="A42" s="5" t="s">
        <v>43</v>
      </c>
      <c r="B42">
        <v>1282</v>
      </c>
      <c r="C42" s="1">
        <v>20</v>
      </c>
      <c r="D42" s="1">
        <v>25640</v>
      </c>
      <c r="E42" s="1">
        <v>2051.1999999999998</v>
      </c>
    </row>
    <row r="43" spans="1:5" x14ac:dyDescent="0.25">
      <c r="A43" s="5" t="s">
        <v>43</v>
      </c>
      <c r="B43">
        <v>708</v>
      </c>
      <c r="C43" s="1">
        <v>20</v>
      </c>
      <c r="D43" s="1">
        <v>14160</v>
      </c>
      <c r="E43" s="1">
        <v>1132.8</v>
      </c>
    </row>
    <row r="44" spans="1:5" x14ac:dyDescent="0.25">
      <c r="A44" s="5" t="s">
        <v>43</v>
      </c>
      <c r="B44">
        <v>2907</v>
      </c>
      <c r="C44" s="1">
        <v>7</v>
      </c>
      <c r="D44" s="1">
        <v>20349</v>
      </c>
      <c r="E44" s="1">
        <v>1627.92</v>
      </c>
    </row>
    <row r="45" spans="1:5" x14ac:dyDescent="0.25">
      <c r="A45" s="5" t="s">
        <v>43</v>
      </c>
      <c r="B45">
        <v>1366</v>
      </c>
      <c r="C45" s="1">
        <v>20</v>
      </c>
      <c r="D45" s="1">
        <v>27320</v>
      </c>
      <c r="E45" s="1">
        <v>2185.6</v>
      </c>
    </row>
    <row r="46" spans="1:5" x14ac:dyDescent="0.25">
      <c r="A46" s="5" t="s">
        <v>43</v>
      </c>
      <c r="B46">
        <v>2460</v>
      </c>
      <c r="C46" s="1">
        <v>300</v>
      </c>
      <c r="D46" s="1">
        <v>738000</v>
      </c>
      <c r="E46" s="1">
        <v>59040</v>
      </c>
    </row>
    <row r="47" spans="1:5" x14ac:dyDescent="0.25">
      <c r="A47" s="5" t="s">
        <v>43</v>
      </c>
      <c r="B47">
        <v>1520</v>
      </c>
      <c r="C47" s="1">
        <v>20</v>
      </c>
      <c r="D47" s="1">
        <v>30400</v>
      </c>
      <c r="E47" s="1">
        <v>2432</v>
      </c>
    </row>
    <row r="48" spans="1:5" x14ac:dyDescent="0.25">
      <c r="A48" s="5" t="s">
        <v>43</v>
      </c>
      <c r="B48">
        <v>711</v>
      </c>
      <c r="C48" s="1">
        <v>15</v>
      </c>
      <c r="D48" s="1">
        <v>10665</v>
      </c>
      <c r="E48" s="1">
        <v>853.2</v>
      </c>
    </row>
    <row r="49" spans="1:5" x14ac:dyDescent="0.25">
      <c r="A49" s="5" t="s">
        <v>43</v>
      </c>
      <c r="B49">
        <v>1375</v>
      </c>
      <c r="C49" s="1">
        <v>12</v>
      </c>
      <c r="D49" s="1">
        <v>16500</v>
      </c>
      <c r="E49" s="1">
        <v>1320</v>
      </c>
    </row>
    <row r="50" spans="1:5" x14ac:dyDescent="0.25">
      <c r="A50" s="5" t="s">
        <v>43</v>
      </c>
      <c r="B50">
        <v>635</v>
      </c>
      <c r="C50" s="1">
        <v>300</v>
      </c>
      <c r="D50" s="1">
        <v>190500</v>
      </c>
      <c r="E50" s="1">
        <v>15240</v>
      </c>
    </row>
    <row r="51" spans="1:5" x14ac:dyDescent="0.25">
      <c r="A51" s="5" t="s">
        <v>43</v>
      </c>
      <c r="B51">
        <v>2071</v>
      </c>
      <c r="C51" s="1">
        <v>350</v>
      </c>
      <c r="D51" s="1">
        <v>724850</v>
      </c>
      <c r="E51" s="1">
        <v>65236.5</v>
      </c>
    </row>
    <row r="52" spans="1:5" x14ac:dyDescent="0.25">
      <c r="A52" s="5" t="s">
        <v>43</v>
      </c>
      <c r="B52">
        <v>1269</v>
      </c>
      <c r="C52" s="1">
        <v>350</v>
      </c>
      <c r="D52" s="1">
        <v>444150</v>
      </c>
      <c r="E52" s="1">
        <v>39973.5</v>
      </c>
    </row>
    <row r="53" spans="1:5" x14ac:dyDescent="0.25">
      <c r="A53" s="5" t="s">
        <v>43</v>
      </c>
      <c r="B53">
        <v>970</v>
      </c>
      <c r="C53" s="1">
        <v>15</v>
      </c>
      <c r="D53" s="1">
        <v>14550</v>
      </c>
      <c r="E53" s="1">
        <v>1309.5</v>
      </c>
    </row>
    <row r="54" spans="1:5" x14ac:dyDescent="0.25">
      <c r="A54" s="5" t="s">
        <v>43</v>
      </c>
      <c r="B54">
        <v>1694</v>
      </c>
      <c r="C54" s="1">
        <v>20</v>
      </c>
      <c r="D54" s="1">
        <v>33880</v>
      </c>
      <c r="E54" s="1">
        <v>3049.2</v>
      </c>
    </row>
    <row r="55" spans="1:5" x14ac:dyDescent="0.25">
      <c r="A55" s="5" t="s">
        <v>43</v>
      </c>
      <c r="B55">
        <v>1038</v>
      </c>
      <c r="C55" s="1">
        <v>20</v>
      </c>
      <c r="D55" s="1">
        <v>20760</v>
      </c>
      <c r="E55" s="1">
        <v>1868.4</v>
      </c>
    </row>
    <row r="56" spans="1:5" x14ac:dyDescent="0.25">
      <c r="A56" s="5" t="s">
        <v>43</v>
      </c>
      <c r="B56">
        <v>1630.5</v>
      </c>
      <c r="C56" s="1">
        <v>15</v>
      </c>
      <c r="D56" s="1">
        <v>24457.5</v>
      </c>
      <c r="E56" s="1">
        <v>2201.1750000000002</v>
      </c>
    </row>
    <row r="57" spans="1:5" x14ac:dyDescent="0.25">
      <c r="A57" s="5" t="s">
        <v>43</v>
      </c>
      <c r="B57">
        <v>306</v>
      </c>
      <c r="C57" s="1">
        <v>12</v>
      </c>
      <c r="D57" s="1">
        <v>3672</v>
      </c>
      <c r="E57" s="1">
        <v>330.48</v>
      </c>
    </row>
    <row r="58" spans="1:5" x14ac:dyDescent="0.25">
      <c r="A58" s="5" t="s">
        <v>43</v>
      </c>
      <c r="B58">
        <v>579</v>
      </c>
      <c r="C58" s="1">
        <v>125</v>
      </c>
      <c r="D58" s="1">
        <v>72375</v>
      </c>
      <c r="E58" s="1">
        <v>7237.5</v>
      </c>
    </row>
    <row r="59" spans="1:5" x14ac:dyDescent="0.25">
      <c r="A59" s="5" t="s">
        <v>43</v>
      </c>
      <c r="B59">
        <v>2240</v>
      </c>
      <c r="C59" s="1">
        <v>350</v>
      </c>
      <c r="D59" s="1">
        <v>784000</v>
      </c>
      <c r="E59" s="1">
        <v>78400</v>
      </c>
    </row>
    <row r="60" spans="1:5" x14ac:dyDescent="0.25">
      <c r="A60" s="5" t="s">
        <v>43</v>
      </c>
      <c r="B60">
        <v>2993</v>
      </c>
      <c r="C60" s="1">
        <v>300</v>
      </c>
      <c r="D60" s="1">
        <v>897900</v>
      </c>
      <c r="E60" s="1">
        <v>89790</v>
      </c>
    </row>
    <row r="61" spans="1:5" x14ac:dyDescent="0.25">
      <c r="A61" s="5" t="s">
        <v>43</v>
      </c>
      <c r="B61">
        <v>3520.5</v>
      </c>
      <c r="C61" s="1">
        <v>12</v>
      </c>
      <c r="D61" s="1">
        <v>42246</v>
      </c>
      <c r="E61" s="1">
        <v>4224.6000000000004</v>
      </c>
    </row>
    <row r="62" spans="1:5" x14ac:dyDescent="0.25">
      <c r="A62" s="5" t="s">
        <v>43</v>
      </c>
      <c r="B62">
        <v>2039</v>
      </c>
      <c r="C62" s="1">
        <v>20</v>
      </c>
      <c r="D62" s="1">
        <v>40780</v>
      </c>
      <c r="E62" s="1">
        <v>4078</v>
      </c>
    </row>
    <row r="63" spans="1:5" x14ac:dyDescent="0.25">
      <c r="A63" s="5" t="s">
        <v>43</v>
      </c>
      <c r="B63">
        <v>2574</v>
      </c>
      <c r="C63" s="1">
        <v>12</v>
      </c>
      <c r="D63" s="1">
        <v>30888</v>
      </c>
      <c r="E63" s="1">
        <v>3088.8</v>
      </c>
    </row>
    <row r="64" spans="1:5" x14ac:dyDescent="0.25">
      <c r="A64" s="5" t="s">
        <v>43</v>
      </c>
      <c r="B64">
        <v>707</v>
      </c>
      <c r="C64" s="1">
        <v>350</v>
      </c>
      <c r="D64" s="1">
        <v>247450</v>
      </c>
      <c r="E64" s="1">
        <v>24745</v>
      </c>
    </row>
    <row r="65" spans="1:5" x14ac:dyDescent="0.25">
      <c r="A65" s="5" t="s">
        <v>43</v>
      </c>
      <c r="B65">
        <v>2072</v>
      </c>
      <c r="C65" s="1">
        <v>15</v>
      </c>
      <c r="D65" s="1">
        <v>31080</v>
      </c>
      <c r="E65" s="1">
        <v>3108</v>
      </c>
    </row>
    <row r="66" spans="1:5" x14ac:dyDescent="0.25">
      <c r="A66" s="5" t="s">
        <v>43</v>
      </c>
      <c r="B66">
        <v>853</v>
      </c>
      <c r="C66" s="1">
        <v>300</v>
      </c>
      <c r="D66" s="1">
        <v>255900</v>
      </c>
      <c r="E66" s="1">
        <v>25590</v>
      </c>
    </row>
    <row r="67" spans="1:5" x14ac:dyDescent="0.25">
      <c r="A67" s="5" t="s">
        <v>43</v>
      </c>
      <c r="B67">
        <v>3199.5</v>
      </c>
      <c r="C67" s="1">
        <v>15</v>
      </c>
      <c r="D67" s="1">
        <v>47992.5</v>
      </c>
      <c r="E67" s="1">
        <v>5279.1749999999993</v>
      </c>
    </row>
    <row r="68" spans="1:5" x14ac:dyDescent="0.25">
      <c r="A68" s="5" t="s">
        <v>43</v>
      </c>
      <c r="B68">
        <v>472</v>
      </c>
      <c r="C68" s="1">
        <v>12</v>
      </c>
      <c r="D68" s="1">
        <v>5664</v>
      </c>
      <c r="E68" s="1">
        <v>623.04</v>
      </c>
    </row>
    <row r="69" spans="1:5" x14ac:dyDescent="0.25">
      <c r="A69" s="5" t="s">
        <v>43</v>
      </c>
      <c r="B69">
        <v>3165</v>
      </c>
      <c r="C69" s="1">
        <v>125</v>
      </c>
      <c r="D69" s="1">
        <v>395625</v>
      </c>
      <c r="E69" s="1">
        <v>43518.75</v>
      </c>
    </row>
    <row r="70" spans="1:5" x14ac:dyDescent="0.25">
      <c r="A70" s="5" t="s">
        <v>43</v>
      </c>
      <c r="B70">
        <v>2629</v>
      </c>
      <c r="C70" s="1">
        <v>20</v>
      </c>
      <c r="D70" s="1">
        <v>52580</v>
      </c>
      <c r="E70" s="1">
        <v>5783.8</v>
      </c>
    </row>
    <row r="71" spans="1:5" x14ac:dyDescent="0.25">
      <c r="A71" s="5" t="s">
        <v>43</v>
      </c>
      <c r="B71">
        <v>1433</v>
      </c>
      <c r="C71" s="1">
        <v>125</v>
      </c>
      <c r="D71" s="1">
        <v>179125</v>
      </c>
      <c r="E71" s="1">
        <v>19703.75</v>
      </c>
    </row>
    <row r="72" spans="1:5" x14ac:dyDescent="0.25">
      <c r="A72" s="5" t="s">
        <v>43</v>
      </c>
      <c r="B72">
        <v>947</v>
      </c>
      <c r="C72" s="1">
        <v>125</v>
      </c>
      <c r="D72" s="1">
        <v>118375</v>
      </c>
      <c r="E72" s="1">
        <v>13021.25</v>
      </c>
    </row>
    <row r="73" spans="1:5" x14ac:dyDescent="0.25">
      <c r="A73" s="5" t="s">
        <v>43</v>
      </c>
      <c r="B73">
        <v>344</v>
      </c>
      <c r="C73" s="1">
        <v>350</v>
      </c>
      <c r="D73" s="1">
        <v>120400</v>
      </c>
      <c r="E73" s="1">
        <v>13244</v>
      </c>
    </row>
    <row r="74" spans="1:5" x14ac:dyDescent="0.25">
      <c r="A74" s="5" t="s">
        <v>43</v>
      </c>
      <c r="B74">
        <v>2157</v>
      </c>
      <c r="C74" s="1">
        <v>15</v>
      </c>
      <c r="D74" s="1">
        <v>32355</v>
      </c>
      <c r="E74" s="1">
        <v>3559.05</v>
      </c>
    </row>
    <row r="75" spans="1:5" x14ac:dyDescent="0.25">
      <c r="A75" s="5" t="s">
        <v>43</v>
      </c>
      <c r="B75">
        <v>270</v>
      </c>
      <c r="C75" s="1">
        <v>350</v>
      </c>
      <c r="D75" s="1">
        <v>94500</v>
      </c>
      <c r="E75" s="1">
        <v>11340</v>
      </c>
    </row>
    <row r="76" spans="1:5" x14ac:dyDescent="0.25">
      <c r="A76" s="5" t="s">
        <v>43</v>
      </c>
      <c r="B76">
        <v>3421.5</v>
      </c>
      <c r="C76" s="1">
        <v>7</v>
      </c>
      <c r="D76" s="1">
        <v>23950.5</v>
      </c>
      <c r="E76" s="1">
        <v>2874.06</v>
      </c>
    </row>
    <row r="77" spans="1:5" x14ac:dyDescent="0.25">
      <c r="A77" s="5" t="s">
        <v>43</v>
      </c>
      <c r="B77">
        <v>2734</v>
      </c>
      <c r="C77" s="1">
        <v>7</v>
      </c>
      <c r="D77" s="1">
        <v>19138</v>
      </c>
      <c r="E77" s="1">
        <v>2296.56</v>
      </c>
    </row>
    <row r="78" spans="1:5" x14ac:dyDescent="0.25">
      <c r="A78" s="5" t="s">
        <v>43</v>
      </c>
      <c r="B78">
        <v>2548</v>
      </c>
      <c r="C78" s="1">
        <v>15</v>
      </c>
      <c r="D78" s="1">
        <v>38220</v>
      </c>
      <c r="E78" s="1">
        <v>4586.3999999999996</v>
      </c>
    </row>
    <row r="79" spans="1:5" x14ac:dyDescent="0.25">
      <c r="A79" s="5" t="s">
        <v>43</v>
      </c>
      <c r="B79">
        <v>2761</v>
      </c>
      <c r="C79" s="1">
        <v>12</v>
      </c>
      <c r="D79" s="1">
        <v>33132</v>
      </c>
      <c r="E79" s="1">
        <v>3975.84</v>
      </c>
    </row>
    <row r="80" spans="1:5" x14ac:dyDescent="0.25">
      <c r="A80" s="5" t="s">
        <v>43</v>
      </c>
      <c r="B80">
        <v>1659</v>
      </c>
      <c r="C80" s="1">
        <v>125</v>
      </c>
      <c r="D80" s="1">
        <v>207375</v>
      </c>
      <c r="E80" s="1">
        <v>26958.75</v>
      </c>
    </row>
    <row r="81" spans="1:5" x14ac:dyDescent="0.25">
      <c r="A81" s="5" t="s">
        <v>43</v>
      </c>
      <c r="B81">
        <v>1190</v>
      </c>
      <c r="C81" s="1">
        <v>7</v>
      </c>
      <c r="D81" s="1">
        <v>8330</v>
      </c>
      <c r="E81" s="1">
        <v>1082.9000000000001</v>
      </c>
    </row>
    <row r="82" spans="1:5" x14ac:dyDescent="0.25">
      <c r="A82" s="5" t="s">
        <v>43</v>
      </c>
      <c r="B82">
        <v>410</v>
      </c>
      <c r="C82" s="1">
        <v>12</v>
      </c>
      <c r="D82" s="1">
        <v>4920</v>
      </c>
      <c r="E82" s="1">
        <v>639.6</v>
      </c>
    </row>
    <row r="83" spans="1:5" x14ac:dyDescent="0.25">
      <c r="A83" s="5" t="s">
        <v>43</v>
      </c>
      <c r="B83">
        <v>1770</v>
      </c>
      <c r="C83" s="1">
        <v>12</v>
      </c>
      <c r="D83" s="1">
        <v>21240</v>
      </c>
      <c r="E83" s="1">
        <v>2761.2</v>
      </c>
    </row>
    <row r="84" spans="1:5" x14ac:dyDescent="0.25">
      <c r="A84" s="5" t="s">
        <v>43</v>
      </c>
      <c r="B84">
        <v>1393</v>
      </c>
      <c r="C84" s="1">
        <v>12</v>
      </c>
      <c r="D84" s="1">
        <v>16716</v>
      </c>
      <c r="E84" s="1">
        <v>2340.2399999999998</v>
      </c>
    </row>
    <row r="85" spans="1:5" x14ac:dyDescent="0.25">
      <c r="A85" s="5" t="s">
        <v>43</v>
      </c>
      <c r="B85">
        <v>2015</v>
      </c>
      <c r="C85" s="1">
        <v>12</v>
      </c>
      <c r="D85" s="1">
        <v>24180</v>
      </c>
      <c r="E85" s="1">
        <v>3385.2</v>
      </c>
    </row>
    <row r="86" spans="1:5" x14ac:dyDescent="0.25">
      <c r="A86" s="5" t="s">
        <v>43</v>
      </c>
      <c r="B86">
        <v>888</v>
      </c>
      <c r="C86" s="1">
        <v>300</v>
      </c>
      <c r="D86" s="1">
        <v>266400</v>
      </c>
      <c r="E86" s="1">
        <v>37296</v>
      </c>
    </row>
    <row r="87" spans="1:5" x14ac:dyDescent="0.25">
      <c r="A87" s="5" t="s">
        <v>43</v>
      </c>
      <c r="B87">
        <v>2844</v>
      </c>
      <c r="C87" s="1">
        <v>125</v>
      </c>
      <c r="D87" s="1">
        <v>355500</v>
      </c>
      <c r="E87" s="1">
        <v>49770</v>
      </c>
    </row>
    <row r="88" spans="1:5" x14ac:dyDescent="0.25">
      <c r="A88" s="5" t="s">
        <v>43</v>
      </c>
      <c r="B88">
        <v>2475</v>
      </c>
      <c r="C88" s="1">
        <v>12</v>
      </c>
      <c r="D88" s="1">
        <v>29700</v>
      </c>
      <c r="E88" s="1">
        <v>4158</v>
      </c>
    </row>
    <row r="89" spans="1:5" x14ac:dyDescent="0.25">
      <c r="A89" s="5" t="s">
        <v>43</v>
      </c>
      <c r="B89">
        <v>1743</v>
      </c>
      <c r="C89" s="1">
        <v>15</v>
      </c>
      <c r="D89" s="1">
        <v>26145</v>
      </c>
      <c r="E89" s="1">
        <v>3660.3</v>
      </c>
    </row>
    <row r="90" spans="1:5" x14ac:dyDescent="0.25">
      <c r="A90" s="5" t="s">
        <v>43</v>
      </c>
      <c r="B90">
        <v>2914</v>
      </c>
      <c r="C90" s="1">
        <v>12</v>
      </c>
      <c r="D90" s="1">
        <v>34968</v>
      </c>
      <c r="E90" s="1">
        <v>4895.5200000000004</v>
      </c>
    </row>
    <row r="91" spans="1:5" x14ac:dyDescent="0.25">
      <c r="A91" s="5" t="s">
        <v>43</v>
      </c>
      <c r="B91">
        <v>1731</v>
      </c>
      <c r="C91" s="1">
        <v>7</v>
      </c>
      <c r="D91" s="1">
        <v>12117</v>
      </c>
      <c r="E91" s="1">
        <v>1696.38</v>
      </c>
    </row>
    <row r="92" spans="1:5" x14ac:dyDescent="0.25">
      <c r="A92" s="5" t="s">
        <v>43</v>
      </c>
      <c r="B92">
        <v>1727</v>
      </c>
      <c r="C92" s="1">
        <v>7</v>
      </c>
      <c r="D92" s="1">
        <v>12089</v>
      </c>
      <c r="E92" s="1">
        <v>1692.46</v>
      </c>
    </row>
    <row r="93" spans="1:5" x14ac:dyDescent="0.25">
      <c r="A93" s="5" t="s">
        <v>43</v>
      </c>
      <c r="B93">
        <v>1870</v>
      </c>
      <c r="C93" s="1">
        <v>15</v>
      </c>
      <c r="D93" s="1">
        <v>28050</v>
      </c>
      <c r="E93" s="1">
        <v>3927</v>
      </c>
    </row>
    <row r="94" spans="1:5" x14ac:dyDescent="0.25">
      <c r="A94" s="5" t="s">
        <v>43</v>
      </c>
      <c r="B94">
        <v>2475</v>
      </c>
      <c r="C94" s="1">
        <v>300</v>
      </c>
      <c r="D94" s="1">
        <v>742500</v>
      </c>
      <c r="E94" s="1">
        <v>111375</v>
      </c>
    </row>
    <row r="95" spans="1:5" x14ac:dyDescent="0.25">
      <c r="A95" s="5" t="s">
        <v>43</v>
      </c>
      <c r="B95">
        <v>546</v>
      </c>
      <c r="C95" s="1">
        <v>300</v>
      </c>
      <c r="D95" s="1">
        <v>163800</v>
      </c>
      <c r="E95" s="1">
        <v>24570</v>
      </c>
    </row>
    <row r="96" spans="1:5" x14ac:dyDescent="0.25">
      <c r="A96" s="1" t="s">
        <v>38</v>
      </c>
      <c r="B96">
        <v>1618.5</v>
      </c>
      <c r="C96" s="1">
        <v>20</v>
      </c>
      <c r="D96" s="1">
        <v>32370</v>
      </c>
      <c r="E96" s="1">
        <v>0</v>
      </c>
    </row>
    <row r="97" spans="1:5" x14ac:dyDescent="0.25">
      <c r="A97" s="5" t="s">
        <v>38</v>
      </c>
      <c r="B97">
        <v>1321</v>
      </c>
      <c r="C97" s="1">
        <v>20</v>
      </c>
      <c r="D97" s="1">
        <v>26420</v>
      </c>
      <c r="E97" s="1">
        <v>0</v>
      </c>
    </row>
    <row r="98" spans="1:5" x14ac:dyDescent="0.25">
      <c r="A98" s="5" t="s">
        <v>38</v>
      </c>
      <c r="B98">
        <v>2178</v>
      </c>
      <c r="C98" s="1">
        <v>15</v>
      </c>
      <c r="D98" s="1">
        <v>32670</v>
      </c>
      <c r="E98" s="1">
        <v>0</v>
      </c>
    </row>
    <row r="99" spans="1:5" x14ac:dyDescent="0.25">
      <c r="A99" s="5" t="s">
        <v>38</v>
      </c>
      <c r="B99">
        <v>888</v>
      </c>
      <c r="C99" s="1">
        <v>15</v>
      </c>
      <c r="D99" s="1">
        <v>13320</v>
      </c>
      <c r="E99" s="1">
        <v>0</v>
      </c>
    </row>
    <row r="100" spans="1:5" x14ac:dyDescent="0.25">
      <c r="A100" s="5" t="s">
        <v>38</v>
      </c>
      <c r="B100">
        <v>2470</v>
      </c>
      <c r="C100" s="1">
        <v>15</v>
      </c>
      <c r="D100" s="1">
        <v>37050</v>
      </c>
      <c r="E100" s="1">
        <v>0</v>
      </c>
    </row>
    <row r="101" spans="1:5" x14ac:dyDescent="0.25">
      <c r="A101" s="5" t="s">
        <v>38</v>
      </c>
      <c r="B101">
        <v>1513</v>
      </c>
      <c r="C101" s="1">
        <v>350</v>
      </c>
      <c r="D101" s="1">
        <v>529550</v>
      </c>
      <c r="E101" s="1">
        <v>0</v>
      </c>
    </row>
    <row r="102" spans="1:5" x14ac:dyDescent="0.25">
      <c r="A102" s="5" t="s">
        <v>38</v>
      </c>
      <c r="B102">
        <v>1858</v>
      </c>
      <c r="C102" s="1">
        <v>12</v>
      </c>
      <c r="D102" s="1">
        <v>22296</v>
      </c>
      <c r="E102" s="1">
        <v>222.96</v>
      </c>
    </row>
    <row r="103" spans="1:5" x14ac:dyDescent="0.25">
      <c r="A103" s="5" t="s">
        <v>38</v>
      </c>
      <c r="B103">
        <v>1210</v>
      </c>
      <c r="C103" s="1">
        <v>350</v>
      </c>
      <c r="D103" s="1">
        <v>423500</v>
      </c>
      <c r="E103" s="1">
        <v>4235</v>
      </c>
    </row>
    <row r="104" spans="1:5" x14ac:dyDescent="0.25">
      <c r="A104" s="5" t="s">
        <v>38</v>
      </c>
      <c r="B104">
        <v>2529</v>
      </c>
      <c r="C104" s="1">
        <v>7</v>
      </c>
      <c r="D104" s="1">
        <v>17703</v>
      </c>
      <c r="E104" s="1">
        <v>177.03</v>
      </c>
    </row>
    <row r="105" spans="1:5" x14ac:dyDescent="0.25">
      <c r="A105" s="5" t="s">
        <v>38</v>
      </c>
      <c r="B105">
        <v>1445</v>
      </c>
      <c r="C105" s="1">
        <v>12</v>
      </c>
      <c r="D105" s="1">
        <v>17340</v>
      </c>
      <c r="E105" s="1">
        <v>173.4</v>
      </c>
    </row>
    <row r="106" spans="1:5" x14ac:dyDescent="0.25">
      <c r="A106" s="5" t="s">
        <v>38</v>
      </c>
      <c r="B106">
        <v>330</v>
      </c>
      <c r="C106" s="1">
        <v>125</v>
      </c>
      <c r="D106" s="1">
        <v>41250</v>
      </c>
      <c r="E106" s="1">
        <v>412.5</v>
      </c>
    </row>
    <row r="107" spans="1:5" x14ac:dyDescent="0.25">
      <c r="A107" s="5" t="s">
        <v>38</v>
      </c>
      <c r="B107">
        <v>2671</v>
      </c>
      <c r="C107" s="1">
        <v>12</v>
      </c>
      <c r="D107" s="1">
        <v>32052</v>
      </c>
      <c r="E107" s="1">
        <v>320.52</v>
      </c>
    </row>
    <row r="108" spans="1:5" x14ac:dyDescent="0.25">
      <c r="A108" s="5" t="s">
        <v>38</v>
      </c>
      <c r="B108">
        <v>766</v>
      </c>
      <c r="C108" s="1">
        <v>12</v>
      </c>
      <c r="D108" s="1">
        <v>9192</v>
      </c>
      <c r="E108" s="1">
        <v>91.92</v>
      </c>
    </row>
    <row r="109" spans="1:5" x14ac:dyDescent="0.25">
      <c r="A109" s="5" t="s">
        <v>38</v>
      </c>
      <c r="B109">
        <v>494</v>
      </c>
      <c r="C109" s="1">
        <v>300</v>
      </c>
      <c r="D109" s="1">
        <v>148200</v>
      </c>
      <c r="E109" s="1">
        <v>1482</v>
      </c>
    </row>
    <row r="110" spans="1:5" x14ac:dyDescent="0.25">
      <c r="A110" s="5" t="s">
        <v>38</v>
      </c>
      <c r="B110">
        <v>1397</v>
      </c>
      <c r="C110" s="1">
        <v>350</v>
      </c>
      <c r="D110" s="1">
        <v>488950</v>
      </c>
      <c r="E110" s="1">
        <v>4889.5</v>
      </c>
    </row>
    <row r="111" spans="1:5" x14ac:dyDescent="0.25">
      <c r="A111" s="5" t="s">
        <v>38</v>
      </c>
      <c r="B111">
        <v>2155</v>
      </c>
      <c r="C111" s="1">
        <v>350</v>
      </c>
      <c r="D111" s="1">
        <v>754250</v>
      </c>
      <c r="E111" s="1">
        <v>7542.5</v>
      </c>
    </row>
    <row r="112" spans="1:5" x14ac:dyDescent="0.25">
      <c r="A112" s="5" t="s">
        <v>38</v>
      </c>
      <c r="B112">
        <v>742.5</v>
      </c>
      <c r="C112" s="1">
        <v>125</v>
      </c>
      <c r="D112" s="1">
        <v>92812.5</v>
      </c>
      <c r="E112" s="1">
        <v>1856.25</v>
      </c>
    </row>
    <row r="113" spans="1:5" x14ac:dyDescent="0.25">
      <c r="A113" s="5" t="s">
        <v>38</v>
      </c>
      <c r="B113">
        <v>1295</v>
      </c>
      <c r="C113" s="1">
        <v>12</v>
      </c>
      <c r="D113" s="1">
        <v>15540</v>
      </c>
      <c r="E113" s="1">
        <v>310.8</v>
      </c>
    </row>
    <row r="114" spans="1:5" x14ac:dyDescent="0.25">
      <c r="A114" s="5" t="s">
        <v>38</v>
      </c>
      <c r="B114">
        <v>214</v>
      </c>
      <c r="C114" s="1">
        <v>300</v>
      </c>
      <c r="D114" s="1">
        <v>64200</v>
      </c>
      <c r="E114" s="1">
        <v>1284</v>
      </c>
    </row>
    <row r="115" spans="1:5" x14ac:dyDescent="0.25">
      <c r="A115" s="5" t="s">
        <v>38</v>
      </c>
      <c r="B115">
        <v>2145</v>
      </c>
      <c r="C115" s="1">
        <v>7</v>
      </c>
      <c r="D115" s="1">
        <v>15015</v>
      </c>
      <c r="E115" s="1">
        <v>300.3</v>
      </c>
    </row>
    <row r="116" spans="1:5" x14ac:dyDescent="0.25">
      <c r="A116" s="5" t="s">
        <v>38</v>
      </c>
      <c r="B116">
        <v>2852</v>
      </c>
      <c r="C116" s="1">
        <v>350</v>
      </c>
      <c r="D116" s="1">
        <v>998200</v>
      </c>
      <c r="E116" s="1">
        <v>19964</v>
      </c>
    </row>
    <row r="117" spans="1:5" x14ac:dyDescent="0.25">
      <c r="A117" s="5" t="s">
        <v>38</v>
      </c>
      <c r="B117">
        <v>4243.5</v>
      </c>
      <c r="C117" s="1">
        <v>125</v>
      </c>
      <c r="D117" s="1">
        <v>530437.5</v>
      </c>
      <c r="E117" s="1">
        <v>15913.125</v>
      </c>
    </row>
    <row r="118" spans="1:5" x14ac:dyDescent="0.25">
      <c r="A118" s="5" t="s">
        <v>38</v>
      </c>
      <c r="B118">
        <v>2580</v>
      </c>
      <c r="C118" s="1">
        <v>20</v>
      </c>
      <c r="D118" s="1">
        <v>51600</v>
      </c>
      <c r="E118" s="1">
        <v>1548</v>
      </c>
    </row>
    <row r="119" spans="1:5" x14ac:dyDescent="0.25">
      <c r="A119" s="5" t="s">
        <v>38</v>
      </c>
      <c r="B119">
        <v>689</v>
      </c>
      <c r="C119" s="1">
        <v>300</v>
      </c>
      <c r="D119" s="1">
        <v>206700</v>
      </c>
      <c r="E119" s="1">
        <v>6201</v>
      </c>
    </row>
    <row r="120" spans="1:5" x14ac:dyDescent="0.25">
      <c r="A120" s="5" t="s">
        <v>38</v>
      </c>
      <c r="B120">
        <v>1947</v>
      </c>
      <c r="C120" s="1">
        <v>12</v>
      </c>
      <c r="D120" s="1">
        <v>23364</v>
      </c>
      <c r="E120" s="1">
        <v>700.92</v>
      </c>
    </row>
    <row r="121" spans="1:5" x14ac:dyDescent="0.25">
      <c r="A121" s="5" t="s">
        <v>38</v>
      </c>
      <c r="B121">
        <v>908</v>
      </c>
      <c r="C121" s="1">
        <v>12</v>
      </c>
      <c r="D121" s="1">
        <v>10896</v>
      </c>
      <c r="E121" s="1">
        <v>326.88</v>
      </c>
    </row>
    <row r="122" spans="1:5" x14ac:dyDescent="0.25">
      <c r="A122" s="5" t="s">
        <v>38</v>
      </c>
      <c r="B122">
        <v>831</v>
      </c>
      <c r="C122" s="1">
        <v>20</v>
      </c>
      <c r="D122" s="1">
        <v>16620</v>
      </c>
      <c r="E122" s="1">
        <v>498.6</v>
      </c>
    </row>
    <row r="123" spans="1:5" x14ac:dyDescent="0.25">
      <c r="A123" s="5" t="s">
        <v>38</v>
      </c>
      <c r="B123">
        <v>2851</v>
      </c>
      <c r="C123" s="1">
        <v>7</v>
      </c>
      <c r="D123" s="1">
        <v>19957</v>
      </c>
      <c r="E123" s="1">
        <v>798.28</v>
      </c>
    </row>
    <row r="124" spans="1:5" x14ac:dyDescent="0.25">
      <c r="A124" s="5" t="s">
        <v>38</v>
      </c>
      <c r="B124">
        <v>2021</v>
      </c>
      <c r="C124" s="1">
        <v>300</v>
      </c>
      <c r="D124" s="1">
        <v>606300</v>
      </c>
      <c r="E124" s="1">
        <v>24252</v>
      </c>
    </row>
    <row r="125" spans="1:5" x14ac:dyDescent="0.25">
      <c r="A125" s="5" t="s">
        <v>38</v>
      </c>
      <c r="B125">
        <v>274</v>
      </c>
      <c r="C125" s="1">
        <v>350</v>
      </c>
      <c r="D125" s="1">
        <v>95900</v>
      </c>
      <c r="E125" s="1">
        <v>3836</v>
      </c>
    </row>
    <row r="126" spans="1:5" x14ac:dyDescent="0.25">
      <c r="A126" s="5" t="s">
        <v>38</v>
      </c>
      <c r="B126">
        <v>1865</v>
      </c>
      <c r="C126" s="1">
        <v>12</v>
      </c>
      <c r="D126" s="1">
        <v>22380</v>
      </c>
      <c r="E126" s="1">
        <v>1119</v>
      </c>
    </row>
    <row r="127" spans="1:5" x14ac:dyDescent="0.25">
      <c r="A127" s="5" t="s">
        <v>38</v>
      </c>
      <c r="B127">
        <v>1116</v>
      </c>
      <c r="C127" s="1">
        <v>12</v>
      </c>
      <c r="D127" s="1">
        <v>13392</v>
      </c>
      <c r="E127" s="1">
        <v>669.6</v>
      </c>
    </row>
    <row r="128" spans="1:5" x14ac:dyDescent="0.25">
      <c r="A128" s="5" t="s">
        <v>38</v>
      </c>
      <c r="B128">
        <v>1563</v>
      </c>
      <c r="C128" s="1">
        <v>20</v>
      </c>
      <c r="D128" s="1">
        <v>31260</v>
      </c>
      <c r="E128" s="1">
        <v>1563</v>
      </c>
    </row>
    <row r="129" spans="1:5" x14ac:dyDescent="0.25">
      <c r="A129" s="5" t="s">
        <v>38</v>
      </c>
      <c r="B129">
        <v>991</v>
      </c>
      <c r="C129" s="1">
        <v>300</v>
      </c>
      <c r="D129" s="1">
        <v>297300</v>
      </c>
      <c r="E129" s="1">
        <v>14865</v>
      </c>
    </row>
    <row r="130" spans="1:5" x14ac:dyDescent="0.25">
      <c r="A130" s="5" t="s">
        <v>38</v>
      </c>
      <c r="B130">
        <v>1016</v>
      </c>
      <c r="C130" s="1">
        <v>7</v>
      </c>
      <c r="D130" s="1">
        <v>7112</v>
      </c>
      <c r="E130" s="1">
        <v>355.6</v>
      </c>
    </row>
    <row r="131" spans="1:5" x14ac:dyDescent="0.25">
      <c r="A131" s="5" t="s">
        <v>38</v>
      </c>
      <c r="B131">
        <v>2791</v>
      </c>
      <c r="C131" s="1">
        <v>15</v>
      </c>
      <c r="D131" s="1">
        <v>41865</v>
      </c>
      <c r="E131" s="1">
        <v>2093.25</v>
      </c>
    </row>
    <row r="132" spans="1:5" x14ac:dyDescent="0.25">
      <c r="A132" s="5" t="s">
        <v>38</v>
      </c>
      <c r="B132">
        <v>570</v>
      </c>
      <c r="C132" s="1">
        <v>7</v>
      </c>
      <c r="D132" s="1">
        <v>3990</v>
      </c>
      <c r="E132" s="1">
        <v>199.5</v>
      </c>
    </row>
    <row r="133" spans="1:5" x14ac:dyDescent="0.25">
      <c r="A133" s="5" t="s">
        <v>38</v>
      </c>
      <c r="B133">
        <v>2487</v>
      </c>
      <c r="C133" s="1">
        <v>7</v>
      </c>
      <c r="D133" s="1">
        <v>17409</v>
      </c>
      <c r="E133" s="1">
        <v>870.45</v>
      </c>
    </row>
    <row r="134" spans="1:5" x14ac:dyDescent="0.25">
      <c r="A134" s="5" t="s">
        <v>38</v>
      </c>
      <c r="B134">
        <v>1117.5</v>
      </c>
      <c r="C134" s="1">
        <v>20</v>
      </c>
      <c r="D134" s="1">
        <v>22350</v>
      </c>
      <c r="E134" s="1">
        <v>1341</v>
      </c>
    </row>
    <row r="135" spans="1:5" x14ac:dyDescent="0.25">
      <c r="A135" s="5" t="s">
        <v>38</v>
      </c>
      <c r="B135">
        <v>2844</v>
      </c>
      <c r="C135" s="1">
        <v>15</v>
      </c>
      <c r="D135" s="1">
        <v>42660</v>
      </c>
      <c r="E135" s="1">
        <v>2559.6</v>
      </c>
    </row>
    <row r="136" spans="1:5" x14ac:dyDescent="0.25">
      <c r="A136" s="5" t="s">
        <v>38</v>
      </c>
      <c r="B136">
        <v>562</v>
      </c>
      <c r="C136" s="1">
        <v>12</v>
      </c>
      <c r="D136" s="1">
        <v>6744</v>
      </c>
      <c r="E136" s="1">
        <v>404.64</v>
      </c>
    </row>
    <row r="137" spans="1:5" x14ac:dyDescent="0.25">
      <c r="A137" s="5" t="s">
        <v>38</v>
      </c>
      <c r="B137">
        <v>2299</v>
      </c>
      <c r="C137" s="1">
        <v>12</v>
      </c>
      <c r="D137" s="1">
        <v>27588</v>
      </c>
      <c r="E137" s="1">
        <v>1655.28</v>
      </c>
    </row>
    <row r="138" spans="1:5" x14ac:dyDescent="0.25">
      <c r="A138" s="5" t="s">
        <v>38</v>
      </c>
      <c r="B138">
        <v>2030</v>
      </c>
      <c r="C138" s="1">
        <v>15</v>
      </c>
      <c r="D138" s="1">
        <v>30450</v>
      </c>
      <c r="E138" s="1">
        <v>1827</v>
      </c>
    </row>
    <row r="139" spans="1:5" x14ac:dyDescent="0.25">
      <c r="A139" s="5" t="s">
        <v>38</v>
      </c>
      <c r="B139">
        <v>263</v>
      </c>
      <c r="C139" s="1">
        <v>7</v>
      </c>
      <c r="D139" s="1">
        <v>1841</v>
      </c>
      <c r="E139" s="1">
        <v>110.46</v>
      </c>
    </row>
    <row r="140" spans="1:5" x14ac:dyDescent="0.25">
      <c r="A140" s="5" t="s">
        <v>38</v>
      </c>
      <c r="B140">
        <v>887</v>
      </c>
      <c r="C140" s="1">
        <v>125</v>
      </c>
      <c r="D140" s="1">
        <v>110875</v>
      </c>
      <c r="E140" s="1">
        <v>6652.5</v>
      </c>
    </row>
    <row r="141" spans="1:5" x14ac:dyDescent="0.25">
      <c r="A141" s="5" t="s">
        <v>38</v>
      </c>
      <c r="B141">
        <v>727</v>
      </c>
      <c r="C141" s="1">
        <v>12</v>
      </c>
      <c r="D141" s="1">
        <v>8724</v>
      </c>
      <c r="E141" s="1">
        <v>610.67999999999995</v>
      </c>
    </row>
    <row r="142" spans="1:5" x14ac:dyDescent="0.25">
      <c r="A142" s="5" t="s">
        <v>38</v>
      </c>
      <c r="B142">
        <v>1884</v>
      </c>
      <c r="C142" s="1">
        <v>12</v>
      </c>
      <c r="D142" s="1">
        <v>22608</v>
      </c>
      <c r="E142" s="1">
        <v>1582.56</v>
      </c>
    </row>
    <row r="143" spans="1:5" x14ac:dyDescent="0.25">
      <c r="A143" s="5" t="s">
        <v>38</v>
      </c>
      <c r="B143">
        <v>1834</v>
      </c>
      <c r="C143" s="1">
        <v>20</v>
      </c>
      <c r="D143" s="1">
        <v>36680</v>
      </c>
      <c r="E143" s="1">
        <v>2567.6</v>
      </c>
    </row>
    <row r="144" spans="1:5" x14ac:dyDescent="0.25">
      <c r="A144" s="5" t="s">
        <v>38</v>
      </c>
      <c r="B144">
        <v>1761</v>
      </c>
      <c r="C144" s="1">
        <v>350</v>
      </c>
      <c r="D144" s="1">
        <v>616350</v>
      </c>
      <c r="E144" s="1">
        <v>43144.5</v>
      </c>
    </row>
    <row r="145" spans="1:5" x14ac:dyDescent="0.25">
      <c r="A145" s="5" t="s">
        <v>38</v>
      </c>
      <c r="B145">
        <v>448</v>
      </c>
      <c r="C145" s="1">
        <v>300</v>
      </c>
      <c r="D145" s="1">
        <v>134400</v>
      </c>
      <c r="E145" s="1">
        <v>9408</v>
      </c>
    </row>
    <row r="146" spans="1:5" x14ac:dyDescent="0.25">
      <c r="A146" s="5" t="s">
        <v>38</v>
      </c>
      <c r="B146">
        <v>2181</v>
      </c>
      <c r="C146" s="1">
        <v>300</v>
      </c>
      <c r="D146" s="1">
        <v>654300</v>
      </c>
      <c r="E146" s="1">
        <v>45801</v>
      </c>
    </row>
    <row r="147" spans="1:5" x14ac:dyDescent="0.25">
      <c r="A147" s="5" t="s">
        <v>38</v>
      </c>
      <c r="B147">
        <v>1540</v>
      </c>
      <c r="C147" s="1">
        <v>125</v>
      </c>
      <c r="D147" s="1">
        <v>192500</v>
      </c>
      <c r="E147" s="1">
        <v>15400</v>
      </c>
    </row>
    <row r="148" spans="1:5" x14ac:dyDescent="0.25">
      <c r="A148" s="5" t="s">
        <v>38</v>
      </c>
      <c r="B148">
        <v>490</v>
      </c>
      <c r="C148" s="1">
        <v>15</v>
      </c>
      <c r="D148" s="1">
        <v>7350</v>
      </c>
      <c r="E148" s="1">
        <v>588</v>
      </c>
    </row>
    <row r="149" spans="1:5" x14ac:dyDescent="0.25">
      <c r="A149" s="5" t="s">
        <v>38</v>
      </c>
      <c r="B149">
        <v>1362</v>
      </c>
      <c r="C149" s="1">
        <v>350</v>
      </c>
      <c r="D149" s="1">
        <v>476700</v>
      </c>
      <c r="E149" s="1">
        <v>38136</v>
      </c>
    </row>
    <row r="150" spans="1:5" x14ac:dyDescent="0.25">
      <c r="A150" s="5" t="s">
        <v>38</v>
      </c>
      <c r="B150">
        <v>1094</v>
      </c>
      <c r="C150" s="1">
        <v>300</v>
      </c>
      <c r="D150" s="1">
        <v>328200</v>
      </c>
      <c r="E150" s="1">
        <v>29538</v>
      </c>
    </row>
    <row r="151" spans="1:5" x14ac:dyDescent="0.25">
      <c r="A151" s="5" t="s">
        <v>38</v>
      </c>
      <c r="B151">
        <v>367</v>
      </c>
      <c r="C151" s="1">
        <v>12</v>
      </c>
      <c r="D151" s="1">
        <v>4404</v>
      </c>
      <c r="E151" s="1">
        <v>396.36</v>
      </c>
    </row>
    <row r="152" spans="1:5" x14ac:dyDescent="0.25">
      <c r="A152" s="5" t="s">
        <v>38</v>
      </c>
      <c r="B152">
        <v>663</v>
      </c>
      <c r="C152" s="1">
        <v>20</v>
      </c>
      <c r="D152" s="1">
        <v>13260</v>
      </c>
      <c r="E152" s="1">
        <v>1193.4000000000001</v>
      </c>
    </row>
    <row r="153" spans="1:5" x14ac:dyDescent="0.25">
      <c r="A153" s="5" t="s">
        <v>38</v>
      </c>
      <c r="B153">
        <v>819</v>
      </c>
      <c r="C153" s="1">
        <v>7</v>
      </c>
      <c r="D153" s="1">
        <v>5733</v>
      </c>
      <c r="E153" s="1">
        <v>515.97</v>
      </c>
    </row>
    <row r="154" spans="1:5" x14ac:dyDescent="0.25">
      <c r="A154" s="5" t="s">
        <v>38</v>
      </c>
      <c r="B154">
        <v>1580</v>
      </c>
      <c r="C154" s="1">
        <v>12</v>
      </c>
      <c r="D154" s="1">
        <v>18960</v>
      </c>
      <c r="E154" s="1">
        <v>1706.4</v>
      </c>
    </row>
    <row r="155" spans="1:5" x14ac:dyDescent="0.25">
      <c r="A155" s="5" t="s">
        <v>38</v>
      </c>
      <c r="B155">
        <v>521</v>
      </c>
      <c r="C155" s="1">
        <v>7</v>
      </c>
      <c r="D155" s="1">
        <v>3647</v>
      </c>
      <c r="E155" s="1">
        <v>328.23</v>
      </c>
    </row>
    <row r="156" spans="1:5" x14ac:dyDescent="0.25">
      <c r="A156" s="5" t="s">
        <v>38</v>
      </c>
      <c r="B156">
        <v>386</v>
      </c>
      <c r="C156" s="1">
        <v>12</v>
      </c>
      <c r="D156" s="1">
        <v>4632</v>
      </c>
      <c r="E156" s="1">
        <v>463.2</v>
      </c>
    </row>
    <row r="157" spans="1:5" x14ac:dyDescent="0.25">
      <c r="A157" s="5" t="s">
        <v>38</v>
      </c>
      <c r="B157">
        <v>3445.5</v>
      </c>
      <c r="C157" s="1">
        <v>125</v>
      </c>
      <c r="D157" s="1">
        <v>430687.5</v>
      </c>
      <c r="E157" s="1">
        <v>43068.75</v>
      </c>
    </row>
    <row r="158" spans="1:5" x14ac:dyDescent="0.25">
      <c r="A158" s="5" t="s">
        <v>38</v>
      </c>
      <c r="B158">
        <v>1482</v>
      </c>
      <c r="C158" s="1">
        <v>125</v>
      </c>
      <c r="D158" s="1">
        <v>185250</v>
      </c>
      <c r="E158" s="1">
        <v>18525</v>
      </c>
    </row>
    <row r="159" spans="1:5" x14ac:dyDescent="0.25">
      <c r="A159" s="5" t="s">
        <v>38</v>
      </c>
      <c r="B159">
        <v>1198</v>
      </c>
      <c r="C159" s="1">
        <v>12</v>
      </c>
      <c r="D159" s="1">
        <v>14376</v>
      </c>
      <c r="E159" s="1">
        <v>1581.36</v>
      </c>
    </row>
    <row r="160" spans="1:5" x14ac:dyDescent="0.25">
      <c r="A160" s="5" t="s">
        <v>38</v>
      </c>
      <c r="B160">
        <v>1937</v>
      </c>
      <c r="C160" s="1">
        <v>12</v>
      </c>
      <c r="D160" s="1">
        <v>23244</v>
      </c>
      <c r="E160" s="1">
        <v>2556.84</v>
      </c>
    </row>
    <row r="161" spans="1:5" x14ac:dyDescent="0.25">
      <c r="A161" s="5" t="s">
        <v>38</v>
      </c>
      <c r="B161">
        <v>792</v>
      </c>
      <c r="C161" s="1">
        <v>350</v>
      </c>
      <c r="D161" s="1">
        <v>277200</v>
      </c>
      <c r="E161" s="1">
        <v>30492</v>
      </c>
    </row>
    <row r="162" spans="1:5" x14ac:dyDescent="0.25">
      <c r="A162" s="5" t="s">
        <v>38</v>
      </c>
      <c r="B162">
        <v>2811</v>
      </c>
      <c r="C162" s="1">
        <v>300</v>
      </c>
      <c r="D162" s="1">
        <v>843300</v>
      </c>
      <c r="E162" s="1">
        <v>92763</v>
      </c>
    </row>
    <row r="163" spans="1:5" x14ac:dyDescent="0.25">
      <c r="A163" s="5" t="s">
        <v>38</v>
      </c>
      <c r="B163">
        <v>2441</v>
      </c>
      <c r="C163" s="1">
        <v>125</v>
      </c>
      <c r="D163" s="1">
        <v>305125</v>
      </c>
      <c r="E163" s="1">
        <v>33563.75</v>
      </c>
    </row>
    <row r="164" spans="1:5" x14ac:dyDescent="0.25">
      <c r="A164" s="5" t="s">
        <v>38</v>
      </c>
      <c r="B164">
        <v>1560</v>
      </c>
      <c r="C164" s="1">
        <v>15</v>
      </c>
      <c r="D164" s="1">
        <v>23400</v>
      </c>
      <c r="E164" s="1">
        <v>2574</v>
      </c>
    </row>
    <row r="165" spans="1:5" x14ac:dyDescent="0.25">
      <c r="A165" s="5" t="s">
        <v>38</v>
      </c>
      <c r="B165">
        <v>2706</v>
      </c>
      <c r="C165" s="1">
        <v>7</v>
      </c>
      <c r="D165" s="1">
        <v>18942</v>
      </c>
      <c r="E165" s="1">
        <v>2083.62</v>
      </c>
    </row>
    <row r="166" spans="1:5" x14ac:dyDescent="0.25">
      <c r="A166" s="5" t="s">
        <v>38</v>
      </c>
      <c r="B166">
        <v>886</v>
      </c>
      <c r="C166" s="1">
        <v>350</v>
      </c>
      <c r="D166" s="1">
        <v>310100</v>
      </c>
      <c r="E166" s="1">
        <v>37212</v>
      </c>
    </row>
    <row r="167" spans="1:5" x14ac:dyDescent="0.25">
      <c r="A167" s="5" t="s">
        <v>38</v>
      </c>
      <c r="B167">
        <v>2416</v>
      </c>
      <c r="C167" s="1">
        <v>125</v>
      </c>
      <c r="D167" s="1">
        <v>302000</v>
      </c>
      <c r="E167" s="1">
        <v>36240</v>
      </c>
    </row>
    <row r="168" spans="1:5" x14ac:dyDescent="0.25">
      <c r="A168" s="5" t="s">
        <v>38</v>
      </c>
      <c r="B168">
        <v>2156</v>
      </c>
      <c r="C168" s="1">
        <v>125</v>
      </c>
      <c r="D168" s="1">
        <v>269500</v>
      </c>
      <c r="E168" s="1">
        <v>32340</v>
      </c>
    </row>
    <row r="169" spans="1:5" x14ac:dyDescent="0.25">
      <c r="A169" s="5" t="s">
        <v>38</v>
      </c>
      <c r="B169">
        <v>2689</v>
      </c>
      <c r="C169" s="1">
        <v>15</v>
      </c>
      <c r="D169" s="1">
        <v>40335</v>
      </c>
      <c r="E169" s="1">
        <v>4840.2</v>
      </c>
    </row>
    <row r="170" spans="1:5" x14ac:dyDescent="0.25">
      <c r="A170" s="5" t="s">
        <v>38</v>
      </c>
      <c r="B170">
        <v>2521.5</v>
      </c>
      <c r="C170" s="1">
        <v>20</v>
      </c>
      <c r="D170" s="1">
        <v>50430</v>
      </c>
      <c r="E170" s="1">
        <v>6051.6</v>
      </c>
    </row>
    <row r="171" spans="1:5" x14ac:dyDescent="0.25">
      <c r="A171" s="5" t="s">
        <v>38</v>
      </c>
      <c r="B171">
        <v>2567</v>
      </c>
      <c r="C171" s="1">
        <v>15</v>
      </c>
      <c r="D171" s="1">
        <v>38505</v>
      </c>
      <c r="E171" s="1">
        <v>5005.6499999999996</v>
      </c>
    </row>
    <row r="172" spans="1:5" x14ac:dyDescent="0.25">
      <c r="A172" s="5" t="s">
        <v>38</v>
      </c>
      <c r="B172">
        <v>923</v>
      </c>
      <c r="C172" s="1">
        <v>350</v>
      </c>
      <c r="D172" s="1">
        <v>323050</v>
      </c>
      <c r="E172" s="1">
        <v>41996.5</v>
      </c>
    </row>
    <row r="173" spans="1:5" x14ac:dyDescent="0.25">
      <c r="A173" s="5" t="s">
        <v>38</v>
      </c>
      <c r="B173">
        <v>1790</v>
      </c>
      <c r="C173" s="1">
        <v>350</v>
      </c>
      <c r="D173" s="1">
        <v>626500</v>
      </c>
      <c r="E173" s="1">
        <v>81445</v>
      </c>
    </row>
    <row r="174" spans="1:5" x14ac:dyDescent="0.25">
      <c r="A174" s="5" t="s">
        <v>38</v>
      </c>
      <c r="B174">
        <v>442</v>
      </c>
      <c r="C174" s="1">
        <v>20</v>
      </c>
      <c r="D174" s="1">
        <v>8840</v>
      </c>
      <c r="E174" s="1">
        <v>1149.2</v>
      </c>
    </row>
    <row r="175" spans="1:5" x14ac:dyDescent="0.25">
      <c r="A175" s="5" t="s">
        <v>38</v>
      </c>
      <c r="B175">
        <v>2579</v>
      </c>
      <c r="C175" s="1">
        <v>20</v>
      </c>
      <c r="D175" s="1">
        <v>51580</v>
      </c>
      <c r="E175" s="1">
        <v>7221.2</v>
      </c>
    </row>
    <row r="176" spans="1:5" x14ac:dyDescent="0.25">
      <c r="A176" s="5" t="s">
        <v>38</v>
      </c>
      <c r="B176">
        <v>1743</v>
      </c>
      <c r="C176" s="1">
        <v>20</v>
      </c>
      <c r="D176" s="1">
        <v>34860</v>
      </c>
      <c r="E176" s="1">
        <v>4880.3999999999996</v>
      </c>
    </row>
    <row r="177" spans="1:5" x14ac:dyDescent="0.25">
      <c r="A177" s="5" t="s">
        <v>38</v>
      </c>
      <c r="B177">
        <v>2996</v>
      </c>
      <c r="C177" s="1">
        <v>7</v>
      </c>
      <c r="D177" s="1">
        <v>20972</v>
      </c>
      <c r="E177" s="1">
        <v>2936.08</v>
      </c>
    </row>
    <row r="178" spans="1:5" x14ac:dyDescent="0.25">
      <c r="A178" s="5" t="s">
        <v>38</v>
      </c>
      <c r="B178">
        <v>280</v>
      </c>
      <c r="C178" s="1">
        <v>7</v>
      </c>
      <c r="D178" s="1">
        <v>1960</v>
      </c>
      <c r="E178" s="1">
        <v>274.39999999999998</v>
      </c>
    </row>
    <row r="179" spans="1:5" x14ac:dyDescent="0.25">
      <c r="A179" s="5" t="s">
        <v>38</v>
      </c>
      <c r="B179">
        <v>801</v>
      </c>
      <c r="C179" s="1">
        <v>300</v>
      </c>
      <c r="D179" s="1">
        <v>240300</v>
      </c>
      <c r="E179" s="1">
        <v>33642</v>
      </c>
    </row>
    <row r="180" spans="1:5" x14ac:dyDescent="0.25">
      <c r="A180" s="5" t="s">
        <v>38</v>
      </c>
      <c r="B180">
        <v>1023</v>
      </c>
      <c r="C180" s="1">
        <v>125</v>
      </c>
      <c r="D180" s="1">
        <v>127875</v>
      </c>
      <c r="E180" s="1">
        <v>17902.5</v>
      </c>
    </row>
    <row r="181" spans="1:5" x14ac:dyDescent="0.25">
      <c r="A181" s="5" t="s">
        <v>38</v>
      </c>
      <c r="B181">
        <v>1496</v>
      </c>
      <c r="C181" s="1">
        <v>300</v>
      </c>
      <c r="D181" s="1">
        <v>448800</v>
      </c>
      <c r="E181" s="1">
        <v>62832</v>
      </c>
    </row>
    <row r="182" spans="1:5" x14ac:dyDescent="0.25">
      <c r="A182" s="5" t="s">
        <v>38</v>
      </c>
      <c r="B182">
        <v>1010</v>
      </c>
      <c r="C182" s="1">
        <v>300</v>
      </c>
      <c r="D182" s="1">
        <v>303000</v>
      </c>
      <c r="E182" s="1">
        <v>42420</v>
      </c>
    </row>
    <row r="183" spans="1:5" x14ac:dyDescent="0.25">
      <c r="A183" s="5" t="s">
        <v>38</v>
      </c>
      <c r="B183">
        <v>1513</v>
      </c>
      <c r="C183" s="1">
        <v>15</v>
      </c>
      <c r="D183" s="1">
        <v>22695</v>
      </c>
      <c r="E183" s="1">
        <v>3177.3</v>
      </c>
    </row>
    <row r="184" spans="1:5" x14ac:dyDescent="0.25">
      <c r="A184" s="5" t="s">
        <v>38</v>
      </c>
      <c r="B184">
        <v>2300</v>
      </c>
      <c r="C184" s="1">
        <v>15</v>
      </c>
      <c r="D184" s="1">
        <v>34500</v>
      </c>
      <c r="E184" s="1">
        <v>4830</v>
      </c>
    </row>
    <row r="185" spans="1:5" x14ac:dyDescent="0.25">
      <c r="A185" s="5" t="s">
        <v>38</v>
      </c>
      <c r="B185">
        <v>2821</v>
      </c>
      <c r="C185" s="1">
        <v>125</v>
      </c>
      <c r="D185" s="1">
        <v>352625</v>
      </c>
      <c r="E185" s="1">
        <v>49367.5</v>
      </c>
    </row>
    <row r="186" spans="1:5" x14ac:dyDescent="0.25">
      <c r="A186" s="5" t="s">
        <v>38</v>
      </c>
      <c r="B186">
        <v>1174</v>
      </c>
      <c r="C186" s="1">
        <v>125</v>
      </c>
      <c r="D186" s="1">
        <v>146750</v>
      </c>
      <c r="E186" s="1">
        <v>22012.5</v>
      </c>
    </row>
    <row r="187" spans="1:5" x14ac:dyDescent="0.25">
      <c r="A187" s="5" t="s">
        <v>38</v>
      </c>
      <c r="B187">
        <v>2767</v>
      </c>
      <c r="C187" s="1">
        <v>125</v>
      </c>
      <c r="D187" s="1">
        <v>345875</v>
      </c>
      <c r="E187" s="1">
        <v>51881.25</v>
      </c>
    </row>
    <row r="188" spans="1:5" x14ac:dyDescent="0.25">
      <c r="A188" s="5" t="s">
        <v>38</v>
      </c>
      <c r="B188">
        <v>1085</v>
      </c>
      <c r="C188" s="1">
        <v>125</v>
      </c>
      <c r="D188" s="1">
        <v>135625</v>
      </c>
      <c r="E188" s="1">
        <v>20343.75</v>
      </c>
    </row>
    <row r="189" spans="1:5" x14ac:dyDescent="0.25">
      <c r="A189" s="1" t="s">
        <v>39</v>
      </c>
      <c r="B189">
        <v>921</v>
      </c>
      <c r="C189" s="1">
        <v>15</v>
      </c>
      <c r="D189" s="1">
        <v>13815</v>
      </c>
      <c r="E189" s="1">
        <v>0</v>
      </c>
    </row>
    <row r="190" spans="1:5" x14ac:dyDescent="0.25">
      <c r="A190" s="5" t="s">
        <v>39</v>
      </c>
      <c r="B190">
        <v>2518</v>
      </c>
      <c r="C190" s="1">
        <v>12</v>
      </c>
      <c r="D190" s="1">
        <v>30216</v>
      </c>
      <c r="E190" s="1">
        <v>0</v>
      </c>
    </row>
    <row r="191" spans="1:5" x14ac:dyDescent="0.25">
      <c r="A191" s="5" t="s">
        <v>39</v>
      </c>
      <c r="B191">
        <v>1899</v>
      </c>
      <c r="C191" s="1">
        <v>20</v>
      </c>
      <c r="D191" s="1">
        <v>37980</v>
      </c>
      <c r="E191" s="1">
        <v>0</v>
      </c>
    </row>
    <row r="192" spans="1:5" x14ac:dyDescent="0.25">
      <c r="A192" s="5" t="s">
        <v>39</v>
      </c>
      <c r="B192">
        <v>1545</v>
      </c>
      <c r="C192" s="1">
        <v>12</v>
      </c>
      <c r="D192" s="1">
        <v>18540</v>
      </c>
      <c r="E192" s="1">
        <v>0</v>
      </c>
    </row>
    <row r="193" spans="1:5" x14ac:dyDescent="0.25">
      <c r="A193" s="5" t="s">
        <v>39</v>
      </c>
      <c r="B193">
        <v>2470</v>
      </c>
      <c r="C193" s="1">
        <v>15</v>
      </c>
      <c r="D193" s="1">
        <v>37050</v>
      </c>
      <c r="E193" s="1">
        <v>0</v>
      </c>
    </row>
    <row r="194" spans="1:5" x14ac:dyDescent="0.25">
      <c r="A194" s="5" t="s">
        <v>39</v>
      </c>
      <c r="B194">
        <v>2665.5</v>
      </c>
      <c r="C194" s="1">
        <v>125</v>
      </c>
      <c r="D194" s="1">
        <v>333187.5</v>
      </c>
      <c r="E194" s="1">
        <v>0</v>
      </c>
    </row>
    <row r="195" spans="1:5" x14ac:dyDescent="0.25">
      <c r="A195" s="5" t="s">
        <v>39</v>
      </c>
      <c r="B195">
        <v>958</v>
      </c>
      <c r="C195" s="1">
        <v>300</v>
      </c>
      <c r="D195" s="1">
        <v>287400</v>
      </c>
      <c r="E195" s="1">
        <v>0</v>
      </c>
    </row>
    <row r="196" spans="1:5" x14ac:dyDescent="0.25">
      <c r="A196" s="5" t="s">
        <v>39</v>
      </c>
      <c r="B196">
        <v>2146</v>
      </c>
      <c r="C196" s="1">
        <v>7</v>
      </c>
      <c r="D196" s="1">
        <v>15022</v>
      </c>
      <c r="E196" s="1">
        <v>0</v>
      </c>
    </row>
    <row r="197" spans="1:5" x14ac:dyDescent="0.25">
      <c r="A197" s="5" t="s">
        <v>39</v>
      </c>
      <c r="B197">
        <v>345</v>
      </c>
      <c r="C197" s="1">
        <v>125</v>
      </c>
      <c r="D197" s="1">
        <v>43125</v>
      </c>
      <c r="E197" s="1">
        <v>0</v>
      </c>
    </row>
    <row r="198" spans="1:5" x14ac:dyDescent="0.25">
      <c r="A198" s="5" t="s">
        <v>39</v>
      </c>
      <c r="B198">
        <v>615</v>
      </c>
      <c r="C198" s="1">
        <v>15</v>
      </c>
      <c r="D198" s="1">
        <v>9225</v>
      </c>
      <c r="E198" s="1">
        <v>0</v>
      </c>
    </row>
    <row r="199" spans="1:5" x14ac:dyDescent="0.25">
      <c r="A199" s="5" t="s">
        <v>39</v>
      </c>
      <c r="B199">
        <v>2214</v>
      </c>
      <c r="C199" s="1">
        <v>15</v>
      </c>
      <c r="D199" s="1">
        <v>33210</v>
      </c>
      <c r="E199" s="1">
        <v>332.1</v>
      </c>
    </row>
    <row r="200" spans="1:5" x14ac:dyDescent="0.25">
      <c r="A200" s="5" t="s">
        <v>39</v>
      </c>
      <c r="B200">
        <v>2301</v>
      </c>
      <c r="C200" s="1">
        <v>300</v>
      </c>
      <c r="D200" s="1">
        <v>690300</v>
      </c>
      <c r="E200" s="1">
        <v>6903</v>
      </c>
    </row>
    <row r="201" spans="1:5" x14ac:dyDescent="0.25">
      <c r="A201" s="5" t="s">
        <v>39</v>
      </c>
      <c r="B201">
        <v>1375.5</v>
      </c>
      <c r="C201" s="1">
        <v>20</v>
      </c>
      <c r="D201" s="1">
        <v>27510</v>
      </c>
      <c r="E201" s="1">
        <v>275.10000000000002</v>
      </c>
    </row>
    <row r="202" spans="1:5" x14ac:dyDescent="0.25">
      <c r="A202" s="5" t="s">
        <v>39</v>
      </c>
      <c r="B202">
        <v>1830</v>
      </c>
      <c r="C202" s="1">
        <v>7</v>
      </c>
      <c r="D202" s="1">
        <v>12810</v>
      </c>
      <c r="E202" s="1">
        <v>128.1</v>
      </c>
    </row>
    <row r="203" spans="1:5" x14ac:dyDescent="0.25">
      <c r="A203" s="5" t="s">
        <v>39</v>
      </c>
      <c r="B203">
        <v>2498</v>
      </c>
      <c r="C203" s="1">
        <v>300</v>
      </c>
      <c r="D203" s="1">
        <v>749400</v>
      </c>
      <c r="E203" s="1">
        <v>7494</v>
      </c>
    </row>
    <row r="204" spans="1:5" x14ac:dyDescent="0.25">
      <c r="A204" s="5" t="s">
        <v>39</v>
      </c>
      <c r="B204">
        <v>663</v>
      </c>
      <c r="C204" s="1">
        <v>125</v>
      </c>
      <c r="D204" s="1">
        <v>82875</v>
      </c>
      <c r="E204" s="1">
        <v>828.75</v>
      </c>
    </row>
    <row r="205" spans="1:5" x14ac:dyDescent="0.25">
      <c r="A205" s="5" t="s">
        <v>39</v>
      </c>
      <c r="B205">
        <v>1142</v>
      </c>
      <c r="C205" s="1">
        <v>12</v>
      </c>
      <c r="D205" s="1">
        <v>13704</v>
      </c>
      <c r="E205" s="1">
        <v>274.08</v>
      </c>
    </row>
    <row r="206" spans="1:5" x14ac:dyDescent="0.25">
      <c r="A206" s="5" t="s">
        <v>39</v>
      </c>
      <c r="B206">
        <v>1566</v>
      </c>
      <c r="C206" s="1">
        <v>20</v>
      </c>
      <c r="D206" s="1">
        <v>31320</v>
      </c>
      <c r="E206" s="1">
        <v>626.4</v>
      </c>
    </row>
    <row r="207" spans="1:5" x14ac:dyDescent="0.25">
      <c r="A207" s="5" t="s">
        <v>39</v>
      </c>
      <c r="B207">
        <v>690</v>
      </c>
      <c r="C207" s="1">
        <v>12</v>
      </c>
      <c r="D207" s="1">
        <v>8280</v>
      </c>
      <c r="E207" s="1">
        <v>165.6</v>
      </c>
    </row>
    <row r="208" spans="1:5" x14ac:dyDescent="0.25">
      <c r="A208" s="5" t="s">
        <v>39</v>
      </c>
      <c r="B208">
        <v>1660</v>
      </c>
      <c r="C208" s="1">
        <v>125</v>
      </c>
      <c r="D208" s="1">
        <v>207500</v>
      </c>
      <c r="E208" s="1">
        <v>4150</v>
      </c>
    </row>
    <row r="209" spans="1:5" x14ac:dyDescent="0.25">
      <c r="A209" s="5" t="s">
        <v>39</v>
      </c>
      <c r="B209">
        <v>1958</v>
      </c>
      <c r="C209" s="1">
        <v>7</v>
      </c>
      <c r="D209" s="1">
        <v>13706</v>
      </c>
      <c r="E209" s="1">
        <v>411.18</v>
      </c>
    </row>
    <row r="210" spans="1:5" x14ac:dyDescent="0.25">
      <c r="A210" s="5" t="s">
        <v>39</v>
      </c>
      <c r="B210">
        <v>1901</v>
      </c>
      <c r="C210" s="1">
        <v>12</v>
      </c>
      <c r="D210" s="1">
        <v>22812</v>
      </c>
      <c r="E210" s="1">
        <v>684.36</v>
      </c>
    </row>
    <row r="211" spans="1:5" x14ac:dyDescent="0.25">
      <c r="A211" s="5" t="s">
        <v>39</v>
      </c>
      <c r="B211">
        <v>544</v>
      </c>
      <c r="C211" s="1">
        <v>7</v>
      </c>
      <c r="D211" s="1">
        <v>3808</v>
      </c>
      <c r="E211" s="1">
        <v>114.24</v>
      </c>
    </row>
    <row r="212" spans="1:5" x14ac:dyDescent="0.25">
      <c r="A212" s="5" t="s">
        <v>39</v>
      </c>
      <c r="B212">
        <v>1797</v>
      </c>
      <c r="C212" s="1">
        <v>350</v>
      </c>
      <c r="D212" s="1">
        <v>628950</v>
      </c>
      <c r="E212" s="1">
        <v>18868.5</v>
      </c>
    </row>
    <row r="213" spans="1:5" x14ac:dyDescent="0.25">
      <c r="A213" s="5" t="s">
        <v>39</v>
      </c>
      <c r="B213">
        <v>1287</v>
      </c>
      <c r="C213" s="1">
        <v>125</v>
      </c>
      <c r="D213" s="1">
        <v>160875</v>
      </c>
      <c r="E213" s="1">
        <v>4826.25</v>
      </c>
    </row>
    <row r="214" spans="1:5" x14ac:dyDescent="0.25">
      <c r="A214" s="5" t="s">
        <v>39</v>
      </c>
      <c r="B214">
        <v>1706</v>
      </c>
      <c r="C214" s="1">
        <v>125</v>
      </c>
      <c r="D214" s="1">
        <v>213250</v>
      </c>
      <c r="E214" s="1">
        <v>6397.5</v>
      </c>
    </row>
    <row r="215" spans="1:5" x14ac:dyDescent="0.25">
      <c r="A215" s="5" t="s">
        <v>39</v>
      </c>
      <c r="B215">
        <v>2031</v>
      </c>
      <c r="C215" s="1">
        <v>15</v>
      </c>
      <c r="D215" s="1">
        <v>30465</v>
      </c>
      <c r="E215" s="1">
        <v>1218.5999999999999</v>
      </c>
    </row>
    <row r="216" spans="1:5" x14ac:dyDescent="0.25">
      <c r="A216" s="5" t="s">
        <v>39</v>
      </c>
      <c r="B216">
        <v>1967</v>
      </c>
      <c r="C216" s="1">
        <v>15</v>
      </c>
      <c r="D216" s="1">
        <v>29505</v>
      </c>
      <c r="E216" s="1">
        <v>1180.2</v>
      </c>
    </row>
    <row r="217" spans="1:5" x14ac:dyDescent="0.25">
      <c r="A217" s="5" t="s">
        <v>39</v>
      </c>
      <c r="B217">
        <v>1859</v>
      </c>
      <c r="C217" s="1">
        <v>300</v>
      </c>
      <c r="D217" s="1">
        <v>557700</v>
      </c>
      <c r="E217" s="1">
        <v>22308</v>
      </c>
    </row>
    <row r="218" spans="1:5" x14ac:dyDescent="0.25">
      <c r="A218" s="5" t="s">
        <v>39</v>
      </c>
      <c r="B218">
        <v>2851</v>
      </c>
      <c r="C218" s="1">
        <v>7</v>
      </c>
      <c r="D218" s="1">
        <v>19957</v>
      </c>
      <c r="E218" s="1">
        <v>798.28</v>
      </c>
    </row>
    <row r="219" spans="1:5" x14ac:dyDescent="0.25">
      <c r="A219" s="5" t="s">
        <v>39</v>
      </c>
      <c r="B219">
        <v>2021</v>
      </c>
      <c r="C219" s="1">
        <v>300</v>
      </c>
      <c r="D219" s="1">
        <v>606300</v>
      </c>
      <c r="E219" s="1">
        <v>24252</v>
      </c>
    </row>
    <row r="220" spans="1:5" x14ac:dyDescent="0.25">
      <c r="A220" s="5" t="s">
        <v>39</v>
      </c>
      <c r="B220">
        <v>1138</v>
      </c>
      <c r="C220" s="1">
        <v>125</v>
      </c>
      <c r="D220" s="1">
        <v>142250</v>
      </c>
      <c r="E220" s="1">
        <v>5690</v>
      </c>
    </row>
    <row r="221" spans="1:5" x14ac:dyDescent="0.25">
      <c r="A221" s="5" t="s">
        <v>39</v>
      </c>
      <c r="B221">
        <v>1159</v>
      </c>
      <c r="C221" s="1">
        <v>7</v>
      </c>
      <c r="D221" s="1">
        <v>8113</v>
      </c>
      <c r="E221" s="1">
        <v>405.65</v>
      </c>
    </row>
    <row r="222" spans="1:5" x14ac:dyDescent="0.25">
      <c r="A222" s="5" t="s">
        <v>39</v>
      </c>
      <c r="B222">
        <v>1384.5</v>
      </c>
      <c r="C222" s="1">
        <v>350</v>
      </c>
      <c r="D222" s="1">
        <v>484575</v>
      </c>
      <c r="E222" s="1">
        <v>24228.75</v>
      </c>
    </row>
    <row r="223" spans="1:5" x14ac:dyDescent="0.25">
      <c r="A223" s="5" t="s">
        <v>39</v>
      </c>
      <c r="B223">
        <v>3627</v>
      </c>
      <c r="C223" s="1">
        <v>125</v>
      </c>
      <c r="D223" s="1">
        <v>453375</v>
      </c>
      <c r="E223" s="1">
        <v>22668.75</v>
      </c>
    </row>
    <row r="224" spans="1:5" x14ac:dyDescent="0.25">
      <c r="A224" s="5" t="s">
        <v>39</v>
      </c>
      <c r="B224">
        <v>720</v>
      </c>
      <c r="C224" s="1">
        <v>350</v>
      </c>
      <c r="D224" s="1">
        <v>252000</v>
      </c>
      <c r="E224" s="1">
        <v>12600</v>
      </c>
    </row>
    <row r="225" spans="1:5" x14ac:dyDescent="0.25">
      <c r="A225" s="5" t="s">
        <v>39</v>
      </c>
      <c r="B225">
        <v>2342</v>
      </c>
      <c r="C225" s="1">
        <v>12</v>
      </c>
      <c r="D225" s="1">
        <v>28104</v>
      </c>
      <c r="E225" s="1">
        <v>1405.2</v>
      </c>
    </row>
    <row r="226" spans="1:5" x14ac:dyDescent="0.25">
      <c r="A226" s="5" t="s">
        <v>39</v>
      </c>
      <c r="B226">
        <v>1100</v>
      </c>
      <c r="C226" s="1">
        <v>300</v>
      </c>
      <c r="D226" s="1">
        <v>330000</v>
      </c>
      <c r="E226" s="1">
        <v>16500</v>
      </c>
    </row>
    <row r="227" spans="1:5" x14ac:dyDescent="0.25">
      <c r="A227" s="5" t="s">
        <v>39</v>
      </c>
      <c r="B227">
        <v>980</v>
      </c>
      <c r="C227" s="1">
        <v>350</v>
      </c>
      <c r="D227" s="1">
        <v>343000</v>
      </c>
      <c r="E227" s="1">
        <v>20580</v>
      </c>
    </row>
    <row r="228" spans="1:5" x14ac:dyDescent="0.25">
      <c r="A228" s="5" t="s">
        <v>39</v>
      </c>
      <c r="B228">
        <v>1460</v>
      </c>
      <c r="C228" s="1">
        <v>350</v>
      </c>
      <c r="D228" s="1">
        <v>511000</v>
      </c>
      <c r="E228" s="1">
        <v>30660</v>
      </c>
    </row>
    <row r="229" spans="1:5" x14ac:dyDescent="0.25">
      <c r="A229" s="5" t="s">
        <v>39</v>
      </c>
      <c r="B229">
        <v>1403</v>
      </c>
      <c r="C229" s="1">
        <v>7</v>
      </c>
      <c r="D229" s="1">
        <v>9821</v>
      </c>
      <c r="E229" s="1">
        <v>589.26</v>
      </c>
    </row>
    <row r="230" spans="1:5" x14ac:dyDescent="0.25">
      <c r="A230" s="5" t="s">
        <v>39</v>
      </c>
      <c r="B230">
        <v>2723</v>
      </c>
      <c r="C230" s="1">
        <v>12</v>
      </c>
      <c r="D230" s="1">
        <v>32676</v>
      </c>
      <c r="E230" s="1">
        <v>1960.56</v>
      </c>
    </row>
    <row r="231" spans="1:5" x14ac:dyDescent="0.25">
      <c r="A231" s="5" t="s">
        <v>39</v>
      </c>
      <c r="B231">
        <v>1757</v>
      </c>
      <c r="C231" s="1">
        <v>20</v>
      </c>
      <c r="D231" s="1">
        <v>35140</v>
      </c>
      <c r="E231" s="1">
        <v>2108.4</v>
      </c>
    </row>
    <row r="232" spans="1:5" x14ac:dyDescent="0.25">
      <c r="A232" s="5" t="s">
        <v>39</v>
      </c>
      <c r="B232">
        <v>2340</v>
      </c>
      <c r="C232" s="1">
        <v>12</v>
      </c>
      <c r="D232" s="1">
        <v>28080</v>
      </c>
      <c r="E232" s="1">
        <v>1965.6</v>
      </c>
    </row>
    <row r="233" spans="1:5" x14ac:dyDescent="0.25">
      <c r="A233" s="5" t="s">
        <v>39</v>
      </c>
      <c r="B233">
        <v>2342</v>
      </c>
      <c r="C233" s="1">
        <v>12</v>
      </c>
      <c r="D233" s="1">
        <v>28104</v>
      </c>
      <c r="E233" s="1">
        <v>1967.28</v>
      </c>
    </row>
    <row r="234" spans="1:5" x14ac:dyDescent="0.25">
      <c r="A234" s="5" t="s">
        <v>39</v>
      </c>
      <c r="B234">
        <v>1976</v>
      </c>
      <c r="C234" s="1">
        <v>20</v>
      </c>
      <c r="D234" s="1">
        <v>39520</v>
      </c>
      <c r="E234" s="1">
        <v>2766.4</v>
      </c>
    </row>
    <row r="235" spans="1:5" x14ac:dyDescent="0.25">
      <c r="A235" s="5" t="s">
        <v>39</v>
      </c>
      <c r="B235">
        <v>2181</v>
      </c>
      <c r="C235" s="1">
        <v>300</v>
      </c>
      <c r="D235" s="1">
        <v>654300</v>
      </c>
      <c r="E235" s="1">
        <v>45801</v>
      </c>
    </row>
    <row r="236" spans="1:5" x14ac:dyDescent="0.25">
      <c r="A236" s="5" t="s">
        <v>39</v>
      </c>
      <c r="B236">
        <v>2500</v>
      </c>
      <c r="C236" s="1">
        <v>125</v>
      </c>
      <c r="D236" s="1">
        <v>312500</v>
      </c>
      <c r="E236" s="1">
        <v>21875</v>
      </c>
    </row>
    <row r="237" spans="1:5" x14ac:dyDescent="0.25">
      <c r="A237" s="5" t="s">
        <v>39</v>
      </c>
      <c r="B237">
        <v>488</v>
      </c>
      <c r="C237" s="1">
        <v>7</v>
      </c>
      <c r="D237" s="1">
        <v>3416</v>
      </c>
      <c r="E237" s="1">
        <v>273.27999999999997</v>
      </c>
    </row>
    <row r="238" spans="1:5" x14ac:dyDescent="0.25">
      <c r="A238" s="5" t="s">
        <v>39</v>
      </c>
      <c r="B238">
        <v>1282</v>
      </c>
      <c r="C238" s="1">
        <v>20</v>
      </c>
      <c r="D238" s="1">
        <v>25640</v>
      </c>
      <c r="E238" s="1">
        <v>2051.1999999999998</v>
      </c>
    </row>
    <row r="239" spans="1:5" x14ac:dyDescent="0.25">
      <c r="A239" s="5" t="s">
        <v>39</v>
      </c>
      <c r="B239">
        <v>2501</v>
      </c>
      <c r="C239" s="1">
        <v>15</v>
      </c>
      <c r="D239" s="1">
        <v>37515</v>
      </c>
      <c r="E239" s="1">
        <v>3001.2</v>
      </c>
    </row>
    <row r="240" spans="1:5" x14ac:dyDescent="0.25">
      <c r="A240" s="5" t="s">
        <v>39</v>
      </c>
      <c r="B240">
        <v>708</v>
      </c>
      <c r="C240" s="1">
        <v>20</v>
      </c>
      <c r="D240" s="1">
        <v>14160</v>
      </c>
      <c r="E240" s="1">
        <v>1132.8</v>
      </c>
    </row>
    <row r="241" spans="1:5" x14ac:dyDescent="0.25">
      <c r="A241" s="5" t="s">
        <v>39</v>
      </c>
      <c r="B241">
        <v>645</v>
      </c>
      <c r="C241" s="1">
        <v>20</v>
      </c>
      <c r="D241" s="1">
        <v>12900</v>
      </c>
      <c r="E241" s="1">
        <v>1032</v>
      </c>
    </row>
    <row r="242" spans="1:5" x14ac:dyDescent="0.25">
      <c r="A242" s="5" t="s">
        <v>39</v>
      </c>
      <c r="B242">
        <v>1562</v>
      </c>
      <c r="C242" s="1">
        <v>300</v>
      </c>
      <c r="D242" s="1">
        <v>468600</v>
      </c>
      <c r="E242" s="1">
        <v>37488</v>
      </c>
    </row>
    <row r="243" spans="1:5" x14ac:dyDescent="0.25">
      <c r="A243" s="5" t="s">
        <v>39</v>
      </c>
      <c r="B243">
        <v>1283</v>
      </c>
      <c r="C243" s="1">
        <v>300</v>
      </c>
      <c r="D243" s="1">
        <v>384900</v>
      </c>
      <c r="E243" s="1">
        <v>30792</v>
      </c>
    </row>
    <row r="244" spans="1:5" x14ac:dyDescent="0.25">
      <c r="A244" s="5" t="s">
        <v>39</v>
      </c>
      <c r="B244">
        <v>711</v>
      </c>
      <c r="C244" s="1">
        <v>15</v>
      </c>
      <c r="D244" s="1">
        <v>10665</v>
      </c>
      <c r="E244" s="1">
        <v>853.2</v>
      </c>
    </row>
    <row r="245" spans="1:5" x14ac:dyDescent="0.25">
      <c r="A245" s="5" t="s">
        <v>39</v>
      </c>
      <c r="B245">
        <v>3802.5</v>
      </c>
      <c r="C245" s="1">
        <v>300</v>
      </c>
      <c r="D245" s="1">
        <v>1140750</v>
      </c>
      <c r="E245" s="1">
        <v>102667.5</v>
      </c>
    </row>
    <row r="246" spans="1:5" x14ac:dyDescent="0.25">
      <c r="A246" s="5" t="s">
        <v>39</v>
      </c>
      <c r="B246">
        <v>1666</v>
      </c>
      <c r="C246" s="1">
        <v>350</v>
      </c>
      <c r="D246" s="1">
        <v>583100</v>
      </c>
      <c r="E246" s="1">
        <v>52479</v>
      </c>
    </row>
    <row r="247" spans="1:5" x14ac:dyDescent="0.25">
      <c r="A247" s="5" t="s">
        <v>39</v>
      </c>
      <c r="B247">
        <v>322</v>
      </c>
      <c r="C247" s="1">
        <v>300</v>
      </c>
      <c r="D247" s="1">
        <v>96600</v>
      </c>
      <c r="E247" s="1">
        <v>8694</v>
      </c>
    </row>
    <row r="248" spans="1:5" x14ac:dyDescent="0.25">
      <c r="A248" s="5" t="s">
        <v>39</v>
      </c>
      <c r="B248">
        <v>2321</v>
      </c>
      <c r="C248" s="1">
        <v>12</v>
      </c>
      <c r="D248" s="1">
        <v>27852</v>
      </c>
      <c r="E248" s="1">
        <v>2506.6799999999998</v>
      </c>
    </row>
    <row r="249" spans="1:5" x14ac:dyDescent="0.25">
      <c r="A249" s="5" t="s">
        <v>39</v>
      </c>
      <c r="B249">
        <v>1857</v>
      </c>
      <c r="C249" s="1">
        <v>125</v>
      </c>
      <c r="D249" s="1">
        <v>232125</v>
      </c>
      <c r="E249" s="1">
        <v>20891.25</v>
      </c>
    </row>
    <row r="250" spans="1:5" x14ac:dyDescent="0.25">
      <c r="A250" s="5" t="s">
        <v>39</v>
      </c>
      <c r="B250">
        <v>1611</v>
      </c>
      <c r="C250" s="1">
        <v>7</v>
      </c>
      <c r="D250" s="1">
        <v>11277</v>
      </c>
      <c r="E250" s="1">
        <v>1014.93</v>
      </c>
    </row>
    <row r="251" spans="1:5" x14ac:dyDescent="0.25">
      <c r="A251" s="5" t="s">
        <v>39</v>
      </c>
      <c r="B251">
        <v>2797</v>
      </c>
      <c r="C251" s="1">
        <v>125</v>
      </c>
      <c r="D251" s="1">
        <v>349625</v>
      </c>
      <c r="E251" s="1">
        <v>31466.25</v>
      </c>
    </row>
    <row r="252" spans="1:5" x14ac:dyDescent="0.25">
      <c r="A252" s="5" t="s">
        <v>39</v>
      </c>
      <c r="B252">
        <v>334</v>
      </c>
      <c r="C252" s="1">
        <v>300</v>
      </c>
      <c r="D252" s="1">
        <v>100200</v>
      </c>
      <c r="E252" s="1">
        <v>9018</v>
      </c>
    </row>
    <row r="253" spans="1:5" x14ac:dyDescent="0.25">
      <c r="A253" s="5" t="s">
        <v>39</v>
      </c>
      <c r="B253">
        <v>2328</v>
      </c>
      <c r="C253" s="1">
        <v>7</v>
      </c>
      <c r="D253" s="1">
        <v>16296</v>
      </c>
      <c r="E253" s="1">
        <v>1629.6</v>
      </c>
    </row>
    <row r="254" spans="1:5" x14ac:dyDescent="0.25">
      <c r="A254" s="5" t="s">
        <v>39</v>
      </c>
      <c r="B254">
        <v>2313</v>
      </c>
      <c r="C254" s="1">
        <v>350</v>
      </c>
      <c r="D254" s="1">
        <v>809550</v>
      </c>
      <c r="E254" s="1">
        <v>80955</v>
      </c>
    </row>
    <row r="255" spans="1:5" x14ac:dyDescent="0.25">
      <c r="A255" s="5" t="s">
        <v>39</v>
      </c>
      <c r="B255">
        <v>1804</v>
      </c>
      <c r="C255" s="1">
        <v>125</v>
      </c>
      <c r="D255" s="1">
        <v>225500</v>
      </c>
      <c r="E255" s="1">
        <v>22550</v>
      </c>
    </row>
    <row r="256" spans="1:5" x14ac:dyDescent="0.25">
      <c r="A256" s="5" t="s">
        <v>39</v>
      </c>
      <c r="B256">
        <v>2072</v>
      </c>
      <c r="C256" s="1">
        <v>15</v>
      </c>
      <c r="D256" s="1">
        <v>31080</v>
      </c>
      <c r="E256" s="1">
        <v>3108</v>
      </c>
    </row>
    <row r="257" spans="1:5" x14ac:dyDescent="0.25">
      <c r="A257" s="5" t="s">
        <v>39</v>
      </c>
      <c r="B257">
        <v>766</v>
      </c>
      <c r="C257" s="1">
        <v>350</v>
      </c>
      <c r="D257" s="1">
        <v>268100</v>
      </c>
      <c r="E257" s="1">
        <v>29491</v>
      </c>
    </row>
    <row r="258" spans="1:5" x14ac:dyDescent="0.25">
      <c r="A258" s="5" t="s">
        <v>39</v>
      </c>
      <c r="B258">
        <v>2992</v>
      </c>
      <c r="C258" s="1">
        <v>20</v>
      </c>
      <c r="D258" s="1">
        <v>59840</v>
      </c>
      <c r="E258" s="1">
        <v>6582.4</v>
      </c>
    </row>
    <row r="259" spans="1:5" x14ac:dyDescent="0.25">
      <c r="A259" s="5" t="s">
        <v>39</v>
      </c>
      <c r="B259">
        <v>2157</v>
      </c>
      <c r="C259" s="1">
        <v>15</v>
      </c>
      <c r="D259" s="1">
        <v>32355</v>
      </c>
      <c r="E259" s="1">
        <v>3559.05</v>
      </c>
    </row>
    <row r="260" spans="1:5" x14ac:dyDescent="0.25">
      <c r="A260" s="5" t="s">
        <v>39</v>
      </c>
      <c r="B260">
        <v>677</v>
      </c>
      <c r="C260" s="1">
        <v>15</v>
      </c>
      <c r="D260" s="1">
        <v>10155</v>
      </c>
      <c r="E260" s="1">
        <v>1218.5999999999999</v>
      </c>
    </row>
    <row r="261" spans="1:5" x14ac:dyDescent="0.25">
      <c r="A261" s="5" t="s">
        <v>39</v>
      </c>
      <c r="B261">
        <v>1773</v>
      </c>
      <c r="C261" s="1">
        <v>300</v>
      </c>
      <c r="D261" s="1">
        <v>531900</v>
      </c>
      <c r="E261" s="1">
        <v>63828</v>
      </c>
    </row>
    <row r="262" spans="1:5" x14ac:dyDescent="0.25">
      <c r="A262" s="5" t="s">
        <v>39</v>
      </c>
      <c r="B262">
        <v>2420</v>
      </c>
      <c r="C262" s="1">
        <v>7</v>
      </c>
      <c r="D262" s="1">
        <v>16940</v>
      </c>
      <c r="E262" s="1">
        <v>2032.8</v>
      </c>
    </row>
    <row r="263" spans="1:5" x14ac:dyDescent="0.25">
      <c r="A263" s="5" t="s">
        <v>39</v>
      </c>
      <c r="B263">
        <v>2734</v>
      </c>
      <c r="C263" s="1">
        <v>7</v>
      </c>
      <c r="D263" s="1">
        <v>19138</v>
      </c>
      <c r="E263" s="1">
        <v>2296.56</v>
      </c>
    </row>
    <row r="264" spans="1:5" x14ac:dyDescent="0.25">
      <c r="A264" s="5" t="s">
        <v>39</v>
      </c>
      <c r="B264">
        <v>1715</v>
      </c>
      <c r="C264" s="1">
        <v>20</v>
      </c>
      <c r="D264" s="1">
        <v>34300</v>
      </c>
      <c r="E264" s="1">
        <v>4116</v>
      </c>
    </row>
    <row r="265" spans="1:5" x14ac:dyDescent="0.25">
      <c r="A265" s="5" t="s">
        <v>39</v>
      </c>
      <c r="B265">
        <v>1186</v>
      </c>
      <c r="C265" s="1">
        <v>300</v>
      </c>
      <c r="D265" s="1">
        <v>355800</v>
      </c>
      <c r="E265" s="1">
        <v>42696</v>
      </c>
    </row>
    <row r="266" spans="1:5" x14ac:dyDescent="0.25">
      <c r="A266" s="5" t="s">
        <v>39</v>
      </c>
      <c r="B266">
        <v>2661</v>
      </c>
      <c r="C266" s="1">
        <v>12</v>
      </c>
      <c r="D266" s="1">
        <v>31932</v>
      </c>
      <c r="E266" s="1">
        <v>3831.84</v>
      </c>
    </row>
    <row r="267" spans="1:5" x14ac:dyDescent="0.25">
      <c r="A267" s="5" t="s">
        <v>39</v>
      </c>
      <c r="B267">
        <v>982.5</v>
      </c>
      <c r="C267" s="1">
        <v>350</v>
      </c>
      <c r="D267" s="1">
        <v>343875</v>
      </c>
      <c r="E267" s="1">
        <v>44703.75</v>
      </c>
    </row>
    <row r="268" spans="1:5" x14ac:dyDescent="0.25">
      <c r="A268" s="5" t="s">
        <v>39</v>
      </c>
      <c r="B268">
        <v>1298</v>
      </c>
      <c r="C268" s="1">
        <v>7</v>
      </c>
      <c r="D268" s="1">
        <v>9086</v>
      </c>
      <c r="E268" s="1">
        <v>1181.18</v>
      </c>
    </row>
    <row r="269" spans="1:5" x14ac:dyDescent="0.25">
      <c r="A269" s="5" t="s">
        <v>39</v>
      </c>
      <c r="B269">
        <v>604</v>
      </c>
      <c r="C269" s="1">
        <v>12</v>
      </c>
      <c r="D269" s="1">
        <v>7248</v>
      </c>
      <c r="E269" s="1">
        <v>942.24</v>
      </c>
    </row>
    <row r="270" spans="1:5" x14ac:dyDescent="0.25">
      <c r="A270" s="5" t="s">
        <v>39</v>
      </c>
      <c r="B270">
        <v>2255</v>
      </c>
      <c r="C270" s="1">
        <v>20</v>
      </c>
      <c r="D270" s="1">
        <v>45100</v>
      </c>
      <c r="E270" s="1">
        <v>5863</v>
      </c>
    </row>
    <row r="271" spans="1:5" x14ac:dyDescent="0.25">
      <c r="A271" s="5" t="s">
        <v>39</v>
      </c>
      <c r="B271">
        <v>1249</v>
      </c>
      <c r="C271" s="1">
        <v>20</v>
      </c>
      <c r="D271" s="1">
        <v>24980</v>
      </c>
      <c r="E271" s="1">
        <v>3247.4</v>
      </c>
    </row>
    <row r="272" spans="1:5" x14ac:dyDescent="0.25">
      <c r="A272" s="5" t="s">
        <v>39</v>
      </c>
      <c r="B272">
        <v>293</v>
      </c>
      <c r="C272" s="1">
        <v>7</v>
      </c>
      <c r="D272" s="1">
        <v>2051</v>
      </c>
      <c r="E272" s="1">
        <v>287.14</v>
      </c>
    </row>
    <row r="273" spans="1:5" x14ac:dyDescent="0.25">
      <c r="A273" s="5" t="s">
        <v>39</v>
      </c>
      <c r="B273">
        <v>2996</v>
      </c>
      <c r="C273" s="1">
        <v>7</v>
      </c>
      <c r="D273" s="1">
        <v>20972</v>
      </c>
      <c r="E273" s="1">
        <v>2936.08</v>
      </c>
    </row>
    <row r="274" spans="1:5" x14ac:dyDescent="0.25">
      <c r="A274" s="5" t="s">
        <v>39</v>
      </c>
      <c r="B274">
        <v>2227.5</v>
      </c>
      <c r="C274" s="1">
        <v>350</v>
      </c>
      <c r="D274" s="1">
        <v>779625</v>
      </c>
      <c r="E274" s="1">
        <v>109147.5</v>
      </c>
    </row>
    <row r="275" spans="1:5" x14ac:dyDescent="0.25">
      <c r="A275" s="5" t="s">
        <v>39</v>
      </c>
      <c r="B275">
        <v>1199</v>
      </c>
      <c r="C275" s="1">
        <v>350</v>
      </c>
      <c r="D275" s="1">
        <v>419650</v>
      </c>
      <c r="E275" s="1">
        <v>58751</v>
      </c>
    </row>
    <row r="276" spans="1:5" x14ac:dyDescent="0.25">
      <c r="A276" s="5" t="s">
        <v>39</v>
      </c>
      <c r="B276">
        <v>200</v>
      </c>
      <c r="C276" s="1">
        <v>350</v>
      </c>
      <c r="D276" s="1">
        <v>70000</v>
      </c>
      <c r="E276" s="1">
        <v>9800</v>
      </c>
    </row>
    <row r="277" spans="1:5" x14ac:dyDescent="0.25">
      <c r="A277" s="5" t="s">
        <v>39</v>
      </c>
      <c r="B277">
        <v>388</v>
      </c>
      <c r="C277" s="1">
        <v>7</v>
      </c>
      <c r="D277" s="1">
        <v>2716</v>
      </c>
      <c r="E277" s="1">
        <v>380.24</v>
      </c>
    </row>
    <row r="278" spans="1:5" x14ac:dyDescent="0.25">
      <c r="A278" s="5" t="s">
        <v>39</v>
      </c>
      <c r="B278">
        <v>1727</v>
      </c>
      <c r="C278" s="1">
        <v>7</v>
      </c>
      <c r="D278" s="1">
        <v>12089</v>
      </c>
      <c r="E278" s="1">
        <v>1692.46</v>
      </c>
    </row>
    <row r="279" spans="1:5" x14ac:dyDescent="0.25">
      <c r="A279" s="5" t="s">
        <v>39</v>
      </c>
      <c r="B279">
        <v>2300</v>
      </c>
      <c r="C279" s="1">
        <v>15</v>
      </c>
      <c r="D279" s="1">
        <v>34500</v>
      </c>
      <c r="E279" s="1">
        <v>4830</v>
      </c>
    </row>
    <row r="280" spans="1:5" x14ac:dyDescent="0.25">
      <c r="A280" s="5" t="s">
        <v>39</v>
      </c>
      <c r="B280">
        <v>546</v>
      </c>
      <c r="C280" s="1">
        <v>300</v>
      </c>
      <c r="D280" s="1">
        <v>163800</v>
      </c>
      <c r="E280" s="1">
        <v>24570</v>
      </c>
    </row>
    <row r="281" spans="1:5" x14ac:dyDescent="0.25">
      <c r="A281" s="5" t="s">
        <v>39</v>
      </c>
      <c r="B281">
        <v>1368</v>
      </c>
      <c r="C281" s="1">
        <v>7</v>
      </c>
      <c r="D281" s="1">
        <v>9576</v>
      </c>
      <c r="E281" s="1">
        <v>1436.4</v>
      </c>
    </row>
    <row r="282" spans="1:5" x14ac:dyDescent="0.25">
      <c r="A282" s="1" t="s">
        <v>40</v>
      </c>
      <c r="B282">
        <v>292</v>
      </c>
      <c r="C282" s="1">
        <v>20</v>
      </c>
      <c r="D282" s="1">
        <v>5840</v>
      </c>
      <c r="E282" s="1">
        <v>0</v>
      </c>
    </row>
    <row r="283" spans="1:5" x14ac:dyDescent="0.25">
      <c r="A283" s="5" t="s">
        <v>40</v>
      </c>
      <c r="B283">
        <v>974</v>
      </c>
      <c r="C283" s="1">
        <v>15</v>
      </c>
      <c r="D283" s="1">
        <v>14610</v>
      </c>
      <c r="E283" s="1">
        <v>0</v>
      </c>
    </row>
    <row r="284" spans="1:5" x14ac:dyDescent="0.25">
      <c r="A284" s="5" t="s">
        <v>40</v>
      </c>
      <c r="B284">
        <v>2518</v>
      </c>
      <c r="C284" s="1">
        <v>12</v>
      </c>
      <c r="D284" s="1">
        <v>30216</v>
      </c>
      <c r="E284" s="1">
        <v>0</v>
      </c>
    </row>
    <row r="285" spans="1:5" x14ac:dyDescent="0.25">
      <c r="A285" s="5" t="s">
        <v>40</v>
      </c>
      <c r="B285">
        <v>1006</v>
      </c>
      <c r="C285" s="1">
        <v>350</v>
      </c>
      <c r="D285" s="1">
        <v>352100</v>
      </c>
      <c r="E285" s="1">
        <v>0</v>
      </c>
    </row>
    <row r="286" spans="1:5" x14ac:dyDescent="0.25">
      <c r="A286" s="5" t="s">
        <v>40</v>
      </c>
      <c r="B286">
        <v>367</v>
      </c>
      <c r="C286" s="1">
        <v>12</v>
      </c>
      <c r="D286" s="1">
        <v>4404</v>
      </c>
      <c r="E286" s="1">
        <v>0</v>
      </c>
    </row>
    <row r="287" spans="1:5" x14ac:dyDescent="0.25">
      <c r="A287" s="5" t="s">
        <v>40</v>
      </c>
      <c r="B287">
        <v>883</v>
      </c>
      <c r="C287" s="1">
        <v>7</v>
      </c>
      <c r="D287" s="1">
        <v>6181</v>
      </c>
      <c r="E287" s="1">
        <v>0</v>
      </c>
    </row>
    <row r="288" spans="1:5" x14ac:dyDescent="0.25">
      <c r="A288" s="5" t="s">
        <v>40</v>
      </c>
      <c r="B288">
        <v>549</v>
      </c>
      <c r="C288" s="1">
        <v>15</v>
      </c>
      <c r="D288" s="1">
        <v>8235</v>
      </c>
      <c r="E288" s="1">
        <v>0</v>
      </c>
    </row>
    <row r="289" spans="1:5" x14ac:dyDescent="0.25">
      <c r="A289" s="5" t="s">
        <v>40</v>
      </c>
      <c r="B289">
        <v>788</v>
      </c>
      <c r="C289" s="1">
        <v>300</v>
      </c>
      <c r="D289" s="1">
        <v>236400</v>
      </c>
      <c r="E289" s="1">
        <v>0</v>
      </c>
    </row>
    <row r="290" spans="1:5" x14ac:dyDescent="0.25">
      <c r="A290" s="5" t="s">
        <v>40</v>
      </c>
      <c r="B290">
        <v>2472</v>
      </c>
      <c r="C290" s="1">
        <v>15</v>
      </c>
      <c r="D290" s="1">
        <v>37080</v>
      </c>
      <c r="E290" s="1">
        <v>0</v>
      </c>
    </row>
    <row r="291" spans="1:5" x14ac:dyDescent="0.25">
      <c r="A291" s="5" t="s">
        <v>40</v>
      </c>
      <c r="B291">
        <v>1143</v>
      </c>
      <c r="C291" s="1">
        <v>7</v>
      </c>
      <c r="D291" s="1">
        <v>8001</v>
      </c>
      <c r="E291" s="1">
        <v>0</v>
      </c>
    </row>
    <row r="292" spans="1:5" x14ac:dyDescent="0.25">
      <c r="A292" s="5" t="s">
        <v>40</v>
      </c>
      <c r="B292">
        <v>1725</v>
      </c>
      <c r="C292" s="1">
        <v>350</v>
      </c>
      <c r="D292" s="1">
        <v>603750</v>
      </c>
      <c r="E292" s="1">
        <v>0</v>
      </c>
    </row>
    <row r="293" spans="1:5" x14ac:dyDescent="0.25">
      <c r="A293" s="5" t="s">
        <v>40</v>
      </c>
      <c r="B293">
        <v>912</v>
      </c>
      <c r="C293" s="1">
        <v>12</v>
      </c>
      <c r="D293" s="1">
        <v>10944</v>
      </c>
      <c r="E293" s="1">
        <v>0</v>
      </c>
    </row>
    <row r="294" spans="1:5" x14ac:dyDescent="0.25">
      <c r="A294" s="5" t="s">
        <v>40</v>
      </c>
      <c r="B294">
        <v>2152</v>
      </c>
      <c r="C294" s="1">
        <v>15</v>
      </c>
      <c r="D294" s="1">
        <v>32280</v>
      </c>
      <c r="E294" s="1">
        <v>0</v>
      </c>
    </row>
    <row r="295" spans="1:5" x14ac:dyDescent="0.25">
      <c r="A295" s="5" t="s">
        <v>40</v>
      </c>
      <c r="B295">
        <v>1817</v>
      </c>
      <c r="C295" s="1">
        <v>20</v>
      </c>
      <c r="D295" s="1">
        <v>36340</v>
      </c>
      <c r="E295" s="1">
        <v>0</v>
      </c>
    </row>
    <row r="296" spans="1:5" x14ac:dyDescent="0.25">
      <c r="A296" s="5" t="s">
        <v>40</v>
      </c>
      <c r="B296">
        <v>1513</v>
      </c>
      <c r="C296" s="1">
        <v>350</v>
      </c>
      <c r="D296" s="1">
        <v>529550</v>
      </c>
      <c r="E296" s="1">
        <v>0</v>
      </c>
    </row>
    <row r="297" spans="1:5" x14ac:dyDescent="0.25">
      <c r="A297" s="5" t="s">
        <v>40</v>
      </c>
      <c r="B297">
        <v>3945</v>
      </c>
      <c r="C297" s="1">
        <v>7</v>
      </c>
      <c r="D297" s="1">
        <v>27615</v>
      </c>
      <c r="E297" s="1">
        <v>276.14999999999998</v>
      </c>
    </row>
    <row r="298" spans="1:5" x14ac:dyDescent="0.25">
      <c r="A298" s="5" t="s">
        <v>40</v>
      </c>
      <c r="B298">
        <v>2296</v>
      </c>
      <c r="C298" s="1">
        <v>15</v>
      </c>
      <c r="D298" s="1">
        <v>34440</v>
      </c>
      <c r="E298" s="1">
        <v>344.4</v>
      </c>
    </row>
    <row r="299" spans="1:5" x14ac:dyDescent="0.25">
      <c r="A299" s="5" t="s">
        <v>40</v>
      </c>
      <c r="B299">
        <v>1030</v>
      </c>
      <c r="C299" s="1">
        <v>7</v>
      </c>
      <c r="D299" s="1">
        <v>7210</v>
      </c>
      <c r="E299" s="1">
        <v>72.099999999999994</v>
      </c>
    </row>
    <row r="300" spans="1:5" x14ac:dyDescent="0.25">
      <c r="A300" s="5" t="s">
        <v>40</v>
      </c>
      <c r="B300">
        <v>1514</v>
      </c>
      <c r="C300" s="1">
        <v>15</v>
      </c>
      <c r="D300" s="1">
        <v>22710</v>
      </c>
      <c r="E300" s="1">
        <v>227.1</v>
      </c>
    </row>
    <row r="301" spans="1:5" x14ac:dyDescent="0.25">
      <c r="A301" s="5" t="s">
        <v>40</v>
      </c>
      <c r="B301">
        <v>4492.5</v>
      </c>
      <c r="C301" s="1">
        <v>7</v>
      </c>
      <c r="D301" s="1">
        <v>31447.5</v>
      </c>
      <c r="E301" s="1">
        <v>314.47500000000002</v>
      </c>
    </row>
    <row r="302" spans="1:5" x14ac:dyDescent="0.25">
      <c r="A302" s="5" t="s">
        <v>40</v>
      </c>
      <c r="B302">
        <v>727</v>
      </c>
      <c r="C302" s="1">
        <v>125</v>
      </c>
      <c r="D302" s="1">
        <v>90875</v>
      </c>
      <c r="E302" s="1">
        <v>908.75</v>
      </c>
    </row>
    <row r="303" spans="1:5" x14ac:dyDescent="0.25">
      <c r="A303" s="5" t="s">
        <v>40</v>
      </c>
      <c r="B303">
        <v>787</v>
      </c>
      <c r="C303" s="1">
        <v>125</v>
      </c>
      <c r="D303" s="1">
        <v>98375</v>
      </c>
      <c r="E303" s="1">
        <v>983.75</v>
      </c>
    </row>
    <row r="304" spans="1:5" x14ac:dyDescent="0.25">
      <c r="A304" s="5" t="s">
        <v>40</v>
      </c>
      <c r="B304">
        <v>1823</v>
      </c>
      <c r="C304" s="1">
        <v>125</v>
      </c>
      <c r="D304" s="1">
        <v>227875</v>
      </c>
      <c r="E304" s="1">
        <v>2278.75</v>
      </c>
    </row>
    <row r="305" spans="1:5" x14ac:dyDescent="0.25">
      <c r="A305" s="5" t="s">
        <v>40</v>
      </c>
      <c r="B305">
        <v>747</v>
      </c>
      <c r="C305" s="1">
        <v>15</v>
      </c>
      <c r="D305" s="1">
        <v>11205</v>
      </c>
      <c r="E305" s="1">
        <v>112.05</v>
      </c>
    </row>
    <row r="306" spans="1:5" x14ac:dyDescent="0.25">
      <c r="A306" s="5" t="s">
        <v>40</v>
      </c>
      <c r="B306">
        <v>766</v>
      </c>
      <c r="C306" s="1">
        <v>12</v>
      </c>
      <c r="D306" s="1">
        <v>9192</v>
      </c>
      <c r="E306" s="1">
        <v>91.92</v>
      </c>
    </row>
    <row r="307" spans="1:5" x14ac:dyDescent="0.25">
      <c r="A307" s="5" t="s">
        <v>40</v>
      </c>
      <c r="B307">
        <v>2905</v>
      </c>
      <c r="C307" s="1">
        <v>300</v>
      </c>
      <c r="D307" s="1">
        <v>871500</v>
      </c>
      <c r="E307" s="1">
        <v>8715</v>
      </c>
    </row>
    <row r="308" spans="1:5" x14ac:dyDescent="0.25">
      <c r="A308" s="5" t="s">
        <v>40</v>
      </c>
      <c r="B308">
        <v>2155</v>
      </c>
      <c r="C308" s="1">
        <v>350</v>
      </c>
      <c r="D308" s="1">
        <v>754250</v>
      </c>
      <c r="E308" s="1">
        <v>7542.5</v>
      </c>
    </row>
    <row r="309" spans="1:5" x14ac:dyDescent="0.25">
      <c r="A309" s="5" t="s">
        <v>40</v>
      </c>
      <c r="B309">
        <v>2363</v>
      </c>
      <c r="C309" s="1">
        <v>15</v>
      </c>
      <c r="D309" s="1">
        <v>35445</v>
      </c>
      <c r="E309" s="1">
        <v>708.9</v>
      </c>
    </row>
    <row r="310" spans="1:5" x14ac:dyDescent="0.25">
      <c r="A310" s="5" t="s">
        <v>40</v>
      </c>
      <c r="B310">
        <v>918</v>
      </c>
      <c r="C310" s="1">
        <v>300</v>
      </c>
      <c r="D310" s="1">
        <v>275400</v>
      </c>
      <c r="E310" s="1">
        <v>5508</v>
      </c>
    </row>
    <row r="311" spans="1:5" x14ac:dyDescent="0.25">
      <c r="A311" s="5" t="s">
        <v>40</v>
      </c>
      <c r="B311">
        <v>1728</v>
      </c>
      <c r="C311" s="1">
        <v>300</v>
      </c>
      <c r="D311" s="1">
        <v>518400</v>
      </c>
      <c r="E311" s="1">
        <v>10368</v>
      </c>
    </row>
    <row r="312" spans="1:5" x14ac:dyDescent="0.25">
      <c r="A312" s="5" t="s">
        <v>40</v>
      </c>
      <c r="B312">
        <v>1142</v>
      </c>
      <c r="C312" s="1">
        <v>12</v>
      </c>
      <c r="D312" s="1">
        <v>13704</v>
      </c>
      <c r="E312" s="1">
        <v>274.08</v>
      </c>
    </row>
    <row r="313" spans="1:5" x14ac:dyDescent="0.25">
      <c r="A313" s="5" t="s">
        <v>40</v>
      </c>
      <c r="B313">
        <v>662</v>
      </c>
      <c r="C313" s="1">
        <v>125</v>
      </c>
      <c r="D313" s="1">
        <v>82750</v>
      </c>
      <c r="E313" s="1">
        <v>1655</v>
      </c>
    </row>
    <row r="314" spans="1:5" x14ac:dyDescent="0.25">
      <c r="A314" s="5" t="s">
        <v>40</v>
      </c>
      <c r="B314">
        <v>1295</v>
      </c>
      <c r="C314" s="1">
        <v>12</v>
      </c>
      <c r="D314" s="1">
        <v>15540</v>
      </c>
      <c r="E314" s="1">
        <v>310.8</v>
      </c>
    </row>
    <row r="315" spans="1:5" x14ac:dyDescent="0.25">
      <c r="A315" s="5" t="s">
        <v>40</v>
      </c>
      <c r="B315">
        <v>809</v>
      </c>
      <c r="C315" s="1">
        <v>125</v>
      </c>
      <c r="D315" s="1">
        <v>101125</v>
      </c>
      <c r="E315" s="1">
        <v>2022.5</v>
      </c>
    </row>
    <row r="316" spans="1:5" x14ac:dyDescent="0.25">
      <c r="A316" s="5" t="s">
        <v>40</v>
      </c>
      <c r="B316">
        <v>2145</v>
      </c>
      <c r="C316" s="1">
        <v>125</v>
      </c>
      <c r="D316" s="1">
        <v>268125</v>
      </c>
      <c r="E316" s="1">
        <v>5362.5</v>
      </c>
    </row>
    <row r="317" spans="1:5" x14ac:dyDescent="0.25">
      <c r="A317" s="5" t="s">
        <v>40</v>
      </c>
      <c r="B317">
        <v>1785</v>
      </c>
      <c r="C317" s="1">
        <v>12</v>
      </c>
      <c r="D317" s="1">
        <v>21420</v>
      </c>
      <c r="E317" s="1">
        <v>428.4</v>
      </c>
    </row>
    <row r="318" spans="1:5" x14ac:dyDescent="0.25">
      <c r="A318" s="5" t="s">
        <v>40</v>
      </c>
      <c r="B318">
        <v>1916</v>
      </c>
      <c r="C318" s="1">
        <v>300</v>
      </c>
      <c r="D318" s="1">
        <v>574800</v>
      </c>
      <c r="E318" s="1">
        <v>11496</v>
      </c>
    </row>
    <row r="319" spans="1:5" x14ac:dyDescent="0.25">
      <c r="A319" s="5" t="s">
        <v>40</v>
      </c>
      <c r="B319">
        <v>2852</v>
      </c>
      <c r="C319" s="1">
        <v>350</v>
      </c>
      <c r="D319" s="1">
        <v>998200</v>
      </c>
      <c r="E319" s="1">
        <v>19964</v>
      </c>
    </row>
    <row r="320" spans="1:5" x14ac:dyDescent="0.25">
      <c r="A320" s="5" t="s">
        <v>40</v>
      </c>
      <c r="B320">
        <v>2729</v>
      </c>
      <c r="C320" s="1">
        <v>125</v>
      </c>
      <c r="D320" s="1">
        <v>341125</v>
      </c>
      <c r="E320" s="1">
        <v>6822.5</v>
      </c>
    </row>
    <row r="321" spans="1:5" x14ac:dyDescent="0.25">
      <c r="A321" s="5" t="s">
        <v>40</v>
      </c>
      <c r="B321">
        <v>1925</v>
      </c>
      <c r="C321" s="1">
        <v>15</v>
      </c>
      <c r="D321" s="1">
        <v>28875</v>
      </c>
      <c r="E321" s="1">
        <v>577.5</v>
      </c>
    </row>
    <row r="322" spans="1:5" x14ac:dyDescent="0.25">
      <c r="A322" s="5" t="s">
        <v>40</v>
      </c>
      <c r="B322">
        <v>2013</v>
      </c>
      <c r="C322" s="1">
        <v>7</v>
      </c>
      <c r="D322" s="1">
        <v>14091</v>
      </c>
      <c r="E322" s="1">
        <v>281.82</v>
      </c>
    </row>
    <row r="323" spans="1:5" x14ac:dyDescent="0.25">
      <c r="A323" s="5" t="s">
        <v>40</v>
      </c>
      <c r="B323">
        <v>1055</v>
      </c>
      <c r="C323" s="1">
        <v>12</v>
      </c>
      <c r="D323" s="1">
        <v>12660</v>
      </c>
      <c r="E323" s="1">
        <v>253.2</v>
      </c>
    </row>
    <row r="324" spans="1:5" x14ac:dyDescent="0.25">
      <c r="A324" s="5" t="s">
        <v>40</v>
      </c>
      <c r="B324">
        <v>1084</v>
      </c>
      <c r="C324" s="1">
        <v>12</v>
      </c>
      <c r="D324" s="1">
        <v>13008</v>
      </c>
      <c r="E324" s="1">
        <v>260.16000000000003</v>
      </c>
    </row>
    <row r="325" spans="1:5" x14ac:dyDescent="0.25">
      <c r="A325" s="5" t="s">
        <v>40</v>
      </c>
      <c r="B325">
        <v>2434.5</v>
      </c>
      <c r="C325" s="1">
        <v>300</v>
      </c>
      <c r="D325" s="1">
        <v>730350</v>
      </c>
      <c r="E325" s="1">
        <v>21910.5</v>
      </c>
    </row>
    <row r="326" spans="1:5" x14ac:dyDescent="0.25">
      <c r="A326" s="5" t="s">
        <v>40</v>
      </c>
      <c r="B326">
        <v>1774</v>
      </c>
      <c r="C326" s="1">
        <v>125</v>
      </c>
      <c r="D326" s="1">
        <v>221750</v>
      </c>
      <c r="E326" s="1">
        <v>6652.5</v>
      </c>
    </row>
    <row r="327" spans="1:5" x14ac:dyDescent="0.25">
      <c r="A327" s="5" t="s">
        <v>40</v>
      </c>
      <c r="B327">
        <v>1901</v>
      </c>
      <c r="C327" s="1">
        <v>12</v>
      </c>
      <c r="D327" s="1">
        <v>22812</v>
      </c>
      <c r="E327" s="1">
        <v>684.36</v>
      </c>
    </row>
    <row r="328" spans="1:5" x14ac:dyDescent="0.25">
      <c r="A328" s="5" t="s">
        <v>40</v>
      </c>
      <c r="B328">
        <v>689</v>
      </c>
      <c r="C328" s="1">
        <v>300</v>
      </c>
      <c r="D328" s="1">
        <v>206700</v>
      </c>
      <c r="E328" s="1">
        <v>6201</v>
      </c>
    </row>
    <row r="329" spans="1:5" x14ac:dyDescent="0.25">
      <c r="A329" s="5" t="s">
        <v>40</v>
      </c>
      <c r="B329">
        <v>1570</v>
      </c>
      <c r="C329" s="1">
        <v>125</v>
      </c>
      <c r="D329" s="1">
        <v>196250</v>
      </c>
      <c r="E329" s="1">
        <v>5887.5</v>
      </c>
    </row>
    <row r="330" spans="1:5" x14ac:dyDescent="0.25">
      <c r="A330" s="5" t="s">
        <v>40</v>
      </c>
      <c r="B330">
        <v>1369.5</v>
      </c>
      <c r="C330" s="1">
        <v>12</v>
      </c>
      <c r="D330" s="1">
        <v>16434</v>
      </c>
      <c r="E330" s="1">
        <v>493.02</v>
      </c>
    </row>
    <row r="331" spans="1:5" x14ac:dyDescent="0.25">
      <c r="A331" s="5" t="s">
        <v>40</v>
      </c>
      <c r="B331">
        <v>2009</v>
      </c>
      <c r="C331" s="1">
        <v>125</v>
      </c>
      <c r="D331" s="1">
        <v>251125</v>
      </c>
      <c r="E331" s="1">
        <v>7533.75</v>
      </c>
    </row>
    <row r="332" spans="1:5" x14ac:dyDescent="0.25">
      <c r="A332" s="5" t="s">
        <v>40</v>
      </c>
      <c r="B332">
        <v>1945</v>
      </c>
      <c r="C332" s="1">
        <v>15</v>
      </c>
      <c r="D332" s="1">
        <v>29175</v>
      </c>
      <c r="E332" s="1">
        <v>875.25</v>
      </c>
    </row>
    <row r="333" spans="1:5" x14ac:dyDescent="0.25">
      <c r="A333" s="5" t="s">
        <v>40</v>
      </c>
      <c r="B333">
        <v>1287</v>
      </c>
      <c r="C333" s="1">
        <v>125</v>
      </c>
      <c r="D333" s="1">
        <v>160875</v>
      </c>
      <c r="E333" s="1">
        <v>4826.25</v>
      </c>
    </row>
    <row r="334" spans="1:5" x14ac:dyDescent="0.25">
      <c r="A334" s="5" t="s">
        <v>40</v>
      </c>
      <c r="B334">
        <v>1706</v>
      </c>
      <c r="C334" s="1">
        <v>125</v>
      </c>
      <c r="D334" s="1">
        <v>213250</v>
      </c>
      <c r="E334" s="1">
        <v>6397.5</v>
      </c>
    </row>
    <row r="335" spans="1:5" x14ac:dyDescent="0.25">
      <c r="A335" s="5" t="s">
        <v>40</v>
      </c>
      <c r="B335">
        <v>1760</v>
      </c>
      <c r="C335" s="1">
        <v>7</v>
      </c>
      <c r="D335" s="1">
        <v>12320</v>
      </c>
      <c r="E335" s="1">
        <v>369.6</v>
      </c>
    </row>
    <row r="336" spans="1:5" x14ac:dyDescent="0.25">
      <c r="A336" s="5" t="s">
        <v>40</v>
      </c>
      <c r="B336">
        <v>2031</v>
      </c>
      <c r="C336" s="1">
        <v>15</v>
      </c>
      <c r="D336" s="1">
        <v>30465</v>
      </c>
      <c r="E336" s="1">
        <v>1218.5999999999999</v>
      </c>
    </row>
    <row r="337" spans="1:5" x14ac:dyDescent="0.25">
      <c r="A337" s="5" t="s">
        <v>40</v>
      </c>
      <c r="B337">
        <v>2261</v>
      </c>
      <c r="C337" s="1">
        <v>15</v>
      </c>
      <c r="D337" s="1">
        <v>33915</v>
      </c>
      <c r="E337" s="1">
        <v>1356.6</v>
      </c>
    </row>
    <row r="338" spans="1:5" x14ac:dyDescent="0.25">
      <c r="A338" s="5" t="s">
        <v>40</v>
      </c>
      <c r="B338">
        <v>4251</v>
      </c>
      <c r="C338" s="1">
        <v>7</v>
      </c>
      <c r="D338" s="1">
        <v>29757</v>
      </c>
      <c r="E338" s="1">
        <v>1190.28</v>
      </c>
    </row>
    <row r="339" spans="1:5" x14ac:dyDescent="0.25">
      <c r="A339" s="5" t="s">
        <v>40</v>
      </c>
      <c r="B339">
        <v>795</v>
      </c>
      <c r="C339" s="1">
        <v>125</v>
      </c>
      <c r="D339" s="1">
        <v>99375</v>
      </c>
      <c r="E339" s="1">
        <v>3975</v>
      </c>
    </row>
    <row r="340" spans="1:5" x14ac:dyDescent="0.25">
      <c r="A340" s="5" t="s">
        <v>40</v>
      </c>
      <c r="B340">
        <v>1414.5</v>
      </c>
      <c r="C340" s="1">
        <v>300</v>
      </c>
      <c r="D340" s="1">
        <v>424350</v>
      </c>
      <c r="E340" s="1">
        <v>16974</v>
      </c>
    </row>
    <row r="341" spans="1:5" x14ac:dyDescent="0.25">
      <c r="A341" s="5" t="s">
        <v>40</v>
      </c>
      <c r="B341">
        <v>2918</v>
      </c>
      <c r="C341" s="1">
        <v>300</v>
      </c>
      <c r="D341" s="1">
        <v>875400</v>
      </c>
      <c r="E341" s="1">
        <v>35016</v>
      </c>
    </row>
    <row r="342" spans="1:5" x14ac:dyDescent="0.25">
      <c r="A342" s="5" t="s">
        <v>40</v>
      </c>
      <c r="B342">
        <v>3450</v>
      </c>
      <c r="C342" s="1">
        <v>350</v>
      </c>
      <c r="D342" s="1">
        <v>1207500</v>
      </c>
      <c r="E342" s="1">
        <v>48300</v>
      </c>
    </row>
    <row r="343" spans="1:5" x14ac:dyDescent="0.25">
      <c r="A343" s="5" t="s">
        <v>40</v>
      </c>
      <c r="B343">
        <v>2988</v>
      </c>
      <c r="C343" s="1">
        <v>125</v>
      </c>
      <c r="D343" s="1">
        <v>373500</v>
      </c>
      <c r="E343" s="1">
        <v>14940</v>
      </c>
    </row>
    <row r="344" spans="1:5" x14ac:dyDescent="0.25">
      <c r="A344" s="5" t="s">
        <v>40</v>
      </c>
      <c r="B344">
        <v>218</v>
      </c>
      <c r="C344" s="1">
        <v>15</v>
      </c>
      <c r="D344" s="1">
        <v>3270</v>
      </c>
      <c r="E344" s="1">
        <v>130.80000000000001</v>
      </c>
    </row>
    <row r="345" spans="1:5" x14ac:dyDescent="0.25">
      <c r="A345" s="5" t="s">
        <v>40</v>
      </c>
      <c r="B345">
        <v>2074</v>
      </c>
      <c r="C345" s="1">
        <v>20</v>
      </c>
      <c r="D345" s="1">
        <v>41480</v>
      </c>
      <c r="E345" s="1">
        <v>1659.2</v>
      </c>
    </row>
    <row r="346" spans="1:5" x14ac:dyDescent="0.25">
      <c r="A346" s="5" t="s">
        <v>40</v>
      </c>
      <c r="B346">
        <v>1056</v>
      </c>
      <c r="C346" s="1">
        <v>20</v>
      </c>
      <c r="D346" s="1">
        <v>21120</v>
      </c>
      <c r="E346" s="1">
        <v>844.8</v>
      </c>
    </row>
    <row r="347" spans="1:5" x14ac:dyDescent="0.25">
      <c r="A347" s="5" t="s">
        <v>40</v>
      </c>
      <c r="B347">
        <v>671</v>
      </c>
      <c r="C347" s="1">
        <v>15</v>
      </c>
      <c r="D347" s="1">
        <v>10065</v>
      </c>
      <c r="E347" s="1">
        <v>402.6</v>
      </c>
    </row>
    <row r="348" spans="1:5" x14ac:dyDescent="0.25">
      <c r="A348" s="5" t="s">
        <v>40</v>
      </c>
      <c r="B348">
        <v>1514</v>
      </c>
      <c r="C348" s="1">
        <v>15</v>
      </c>
      <c r="D348" s="1">
        <v>22710</v>
      </c>
      <c r="E348" s="1">
        <v>908.4</v>
      </c>
    </row>
    <row r="349" spans="1:5" x14ac:dyDescent="0.25">
      <c r="A349" s="5" t="s">
        <v>40</v>
      </c>
      <c r="B349">
        <v>274</v>
      </c>
      <c r="C349" s="1">
        <v>350</v>
      </c>
      <c r="D349" s="1">
        <v>95900</v>
      </c>
      <c r="E349" s="1">
        <v>3836</v>
      </c>
    </row>
    <row r="350" spans="1:5" x14ac:dyDescent="0.25">
      <c r="A350" s="5" t="s">
        <v>40</v>
      </c>
      <c r="B350">
        <v>1138</v>
      </c>
      <c r="C350" s="1">
        <v>125</v>
      </c>
      <c r="D350" s="1">
        <v>142250</v>
      </c>
      <c r="E350" s="1">
        <v>5690</v>
      </c>
    </row>
    <row r="351" spans="1:5" x14ac:dyDescent="0.25">
      <c r="A351" s="5" t="s">
        <v>40</v>
      </c>
      <c r="B351">
        <v>1372</v>
      </c>
      <c r="C351" s="1">
        <v>7</v>
      </c>
      <c r="D351" s="1">
        <v>9604</v>
      </c>
      <c r="E351" s="1">
        <v>480.2</v>
      </c>
    </row>
    <row r="352" spans="1:5" x14ac:dyDescent="0.25">
      <c r="A352" s="5" t="s">
        <v>40</v>
      </c>
      <c r="B352">
        <v>2349</v>
      </c>
      <c r="C352" s="1">
        <v>7</v>
      </c>
      <c r="D352" s="1">
        <v>16443</v>
      </c>
      <c r="E352" s="1">
        <v>822.15</v>
      </c>
    </row>
    <row r="353" spans="1:5" x14ac:dyDescent="0.25">
      <c r="A353" s="5" t="s">
        <v>40</v>
      </c>
      <c r="B353">
        <v>2689</v>
      </c>
      <c r="C353" s="1">
        <v>7</v>
      </c>
      <c r="D353" s="1">
        <v>18823</v>
      </c>
      <c r="E353" s="1">
        <v>941.15</v>
      </c>
    </row>
    <row r="354" spans="1:5" x14ac:dyDescent="0.25">
      <c r="A354" s="5" t="s">
        <v>40</v>
      </c>
      <c r="B354">
        <v>2431</v>
      </c>
      <c r="C354" s="1">
        <v>12</v>
      </c>
      <c r="D354" s="1">
        <v>29172</v>
      </c>
      <c r="E354" s="1">
        <v>1458.6</v>
      </c>
    </row>
    <row r="355" spans="1:5" x14ac:dyDescent="0.25">
      <c r="A355" s="5" t="s">
        <v>40</v>
      </c>
      <c r="B355">
        <v>1303</v>
      </c>
      <c r="C355" s="1">
        <v>20</v>
      </c>
      <c r="D355" s="1">
        <v>26060</v>
      </c>
      <c r="E355" s="1">
        <v>1303</v>
      </c>
    </row>
    <row r="356" spans="1:5" x14ac:dyDescent="0.25">
      <c r="A356" s="5" t="s">
        <v>40</v>
      </c>
      <c r="B356">
        <v>2992</v>
      </c>
      <c r="C356" s="1">
        <v>125</v>
      </c>
      <c r="D356" s="1">
        <v>374000</v>
      </c>
      <c r="E356" s="1">
        <v>18700</v>
      </c>
    </row>
    <row r="357" spans="1:5" x14ac:dyDescent="0.25">
      <c r="A357" s="5" t="s">
        <v>40</v>
      </c>
      <c r="B357">
        <v>2385</v>
      </c>
      <c r="C357" s="1">
        <v>125</v>
      </c>
      <c r="D357" s="1">
        <v>298125</v>
      </c>
      <c r="E357" s="1">
        <v>14906.25</v>
      </c>
    </row>
    <row r="358" spans="1:5" x14ac:dyDescent="0.25">
      <c r="A358" s="5" t="s">
        <v>40</v>
      </c>
      <c r="B358">
        <v>1607</v>
      </c>
      <c r="C358" s="1">
        <v>300</v>
      </c>
      <c r="D358" s="1">
        <v>482100</v>
      </c>
      <c r="E358" s="1">
        <v>24105</v>
      </c>
    </row>
    <row r="359" spans="1:5" x14ac:dyDescent="0.25">
      <c r="A359" s="5" t="s">
        <v>40</v>
      </c>
      <c r="B359">
        <v>2327</v>
      </c>
      <c r="C359" s="1">
        <v>7</v>
      </c>
      <c r="D359" s="1">
        <v>16289</v>
      </c>
      <c r="E359" s="1">
        <v>814.45</v>
      </c>
    </row>
    <row r="360" spans="1:5" x14ac:dyDescent="0.25">
      <c r="A360" s="5" t="s">
        <v>40</v>
      </c>
      <c r="B360">
        <v>991</v>
      </c>
      <c r="C360" s="1">
        <v>300</v>
      </c>
      <c r="D360" s="1">
        <v>297300</v>
      </c>
      <c r="E360" s="1">
        <v>14865</v>
      </c>
    </row>
    <row r="361" spans="1:5" x14ac:dyDescent="0.25">
      <c r="A361" s="5" t="s">
        <v>40</v>
      </c>
      <c r="B361">
        <v>602</v>
      </c>
      <c r="C361" s="1">
        <v>350</v>
      </c>
      <c r="D361" s="1">
        <v>210700</v>
      </c>
      <c r="E361" s="1">
        <v>10535</v>
      </c>
    </row>
    <row r="362" spans="1:5" x14ac:dyDescent="0.25">
      <c r="A362" s="5" t="s">
        <v>40</v>
      </c>
      <c r="B362">
        <v>2620</v>
      </c>
      <c r="C362" s="1">
        <v>15</v>
      </c>
      <c r="D362" s="1">
        <v>39300</v>
      </c>
      <c r="E362" s="1">
        <v>1965</v>
      </c>
    </row>
    <row r="363" spans="1:5" x14ac:dyDescent="0.25">
      <c r="A363" s="5" t="s">
        <v>40</v>
      </c>
      <c r="B363">
        <v>1228</v>
      </c>
      <c r="C363" s="1">
        <v>350</v>
      </c>
      <c r="D363" s="1">
        <v>429800</v>
      </c>
      <c r="E363" s="1">
        <v>21490</v>
      </c>
    </row>
    <row r="364" spans="1:5" x14ac:dyDescent="0.25">
      <c r="A364" s="5" t="s">
        <v>40</v>
      </c>
      <c r="B364">
        <v>1389</v>
      </c>
      <c r="C364" s="1">
        <v>20</v>
      </c>
      <c r="D364" s="1">
        <v>27780</v>
      </c>
      <c r="E364" s="1">
        <v>1389</v>
      </c>
    </row>
    <row r="365" spans="1:5" x14ac:dyDescent="0.25">
      <c r="A365" s="5" t="s">
        <v>40</v>
      </c>
      <c r="B365">
        <v>861</v>
      </c>
      <c r="C365" s="1">
        <v>125</v>
      </c>
      <c r="D365" s="1">
        <v>107625</v>
      </c>
      <c r="E365" s="1">
        <v>5381.25</v>
      </c>
    </row>
    <row r="366" spans="1:5" x14ac:dyDescent="0.25">
      <c r="A366" s="5" t="s">
        <v>40</v>
      </c>
      <c r="B366">
        <v>704</v>
      </c>
      <c r="C366" s="1">
        <v>125</v>
      </c>
      <c r="D366" s="1">
        <v>88000</v>
      </c>
      <c r="E366" s="1">
        <v>4400</v>
      </c>
    </row>
    <row r="367" spans="1:5" x14ac:dyDescent="0.25">
      <c r="A367" s="5" t="s">
        <v>40</v>
      </c>
      <c r="B367">
        <v>1802</v>
      </c>
      <c r="C367" s="1">
        <v>20</v>
      </c>
      <c r="D367" s="1">
        <v>36040</v>
      </c>
      <c r="E367" s="1">
        <v>1802</v>
      </c>
    </row>
    <row r="368" spans="1:5" x14ac:dyDescent="0.25">
      <c r="A368" s="5" t="s">
        <v>40</v>
      </c>
      <c r="B368">
        <v>2663</v>
      </c>
      <c r="C368" s="1">
        <v>20</v>
      </c>
      <c r="D368" s="1">
        <v>53260</v>
      </c>
      <c r="E368" s="1">
        <v>2663</v>
      </c>
    </row>
    <row r="369" spans="1:5" x14ac:dyDescent="0.25">
      <c r="A369" s="5" t="s">
        <v>40</v>
      </c>
      <c r="B369">
        <v>2136</v>
      </c>
      <c r="C369" s="1">
        <v>7</v>
      </c>
      <c r="D369" s="1">
        <v>14952</v>
      </c>
      <c r="E369" s="1">
        <v>747.6</v>
      </c>
    </row>
    <row r="370" spans="1:5" x14ac:dyDescent="0.25">
      <c r="A370" s="5" t="s">
        <v>40</v>
      </c>
      <c r="B370">
        <v>2116</v>
      </c>
      <c r="C370" s="1">
        <v>15</v>
      </c>
      <c r="D370" s="1">
        <v>31740</v>
      </c>
      <c r="E370" s="1">
        <v>1587</v>
      </c>
    </row>
    <row r="371" spans="1:5" x14ac:dyDescent="0.25">
      <c r="A371" s="5" t="s">
        <v>40</v>
      </c>
      <c r="B371">
        <v>3801</v>
      </c>
      <c r="C371" s="1">
        <v>15</v>
      </c>
      <c r="D371" s="1">
        <v>57015</v>
      </c>
      <c r="E371" s="1">
        <v>3420.8999999999996</v>
      </c>
    </row>
    <row r="372" spans="1:5" x14ac:dyDescent="0.25">
      <c r="A372" s="5" t="s">
        <v>40</v>
      </c>
      <c r="B372">
        <v>1496</v>
      </c>
      <c r="C372" s="1">
        <v>350</v>
      </c>
      <c r="D372" s="1">
        <v>523600</v>
      </c>
      <c r="E372" s="1">
        <v>31416</v>
      </c>
    </row>
    <row r="373" spans="1:5" x14ac:dyDescent="0.25">
      <c r="A373" s="5" t="s">
        <v>40</v>
      </c>
      <c r="B373">
        <v>2299</v>
      </c>
      <c r="C373" s="1">
        <v>12</v>
      </c>
      <c r="D373" s="1">
        <v>27588</v>
      </c>
      <c r="E373" s="1">
        <v>1655.28</v>
      </c>
    </row>
    <row r="374" spans="1:5" x14ac:dyDescent="0.25">
      <c r="A374" s="5" t="s">
        <v>40</v>
      </c>
      <c r="B374">
        <v>727</v>
      </c>
      <c r="C374" s="1">
        <v>350</v>
      </c>
      <c r="D374" s="1">
        <v>254450</v>
      </c>
      <c r="E374" s="1">
        <v>15267</v>
      </c>
    </row>
    <row r="375" spans="1:5" x14ac:dyDescent="0.25">
      <c r="A375" s="5" t="s">
        <v>40</v>
      </c>
      <c r="B375">
        <v>2198</v>
      </c>
      <c r="C375" s="1">
        <v>15</v>
      </c>
      <c r="D375" s="1">
        <v>32970</v>
      </c>
      <c r="E375" s="1">
        <v>1978.2</v>
      </c>
    </row>
    <row r="376" spans="1:5" x14ac:dyDescent="0.25">
      <c r="A376" s="5" t="s">
        <v>40</v>
      </c>
      <c r="B376">
        <v>1743</v>
      </c>
      <c r="C376" s="1">
        <v>15</v>
      </c>
      <c r="D376" s="1">
        <v>26145</v>
      </c>
      <c r="E376" s="1">
        <v>1568.7</v>
      </c>
    </row>
    <row r="377" spans="1:5" x14ac:dyDescent="0.25">
      <c r="A377" s="5" t="s">
        <v>40</v>
      </c>
      <c r="B377">
        <v>1153</v>
      </c>
      <c r="C377" s="1">
        <v>15</v>
      </c>
      <c r="D377" s="1">
        <v>17295</v>
      </c>
      <c r="E377" s="1">
        <v>1037.7</v>
      </c>
    </row>
    <row r="378" spans="1:5" x14ac:dyDescent="0.25">
      <c r="A378" s="5" t="s">
        <v>40</v>
      </c>
      <c r="B378">
        <v>1757</v>
      </c>
      <c r="C378" s="1">
        <v>20</v>
      </c>
      <c r="D378" s="1">
        <v>35140</v>
      </c>
      <c r="E378" s="1">
        <v>2108.4</v>
      </c>
    </row>
    <row r="379" spans="1:5" x14ac:dyDescent="0.25">
      <c r="A379" s="5" t="s">
        <v>40</v>
      </c>
      <c r="B379">
        <v>1031</v>
      </c>
      <c r="C379" s="1">
        <v>7</v>
      </c>
      <c r="D379" s="1">
        <v>7217</v>
      </c>
      <c r="E379" s="1">
        <v>505.19</v>
      </c>
    </row>
    <row r="380" spans="1:5" x14ac:dyDescent="0.25">
      <c r="A380" s="5" t="s">
        <v>40</v>
      </c>
      <c r="B380">
        <v>1702</v>
      </c>
      <c r="C380" s="1">
        <v>300</v>
      </c>
      <c r="D380" s="1">
        <v>510600</v>
      </c>
      <c r="E380" s="1">
        <v>35742</v>
      </c>
    </row>
    <row r="381" spans="1:5" x14ac:dyDescent="0.25">
      <c r="A381" s="5" t="s">
        <v>40</v>
      </c>
      <c r="B381">
        <v>448</v>
      </c>
      <c r="C381" s="1">
        <v>300</v>
      </c>
      <c r="D381" s="1">
        <v>134400</v>
      </c>
      <c r="E381" s="1">
        <v>9408</v>
      </c>
    </row>
    <row r="382" spans="1:5" x14ac:dyDescent="0.25">
      <c r="A382" s="5" t="s">
        <v>40</v>
      </c>
      <c r="B382">
        <v>3513</v>
      </c>
      <c r="C382" s="1">
        <v>125</v>
      </c>
      <c r="D382" s="1">
        <v>439125</v>
      </c>
      <c r="E382" s="1">
        <v>30738.75</v>
      </c>
    </row>
    <row r="383" spans="1:5" x14ac:dyDescent="0.25">
      <c r="A383" s="5" t="s">
        <v>40</v>
      </c>
      <c r="B383">
        <v>2101</v>
      </c>
      <c r="C383" s="1">
        <v>15</v>
      </c>
      <c r="D383" s="1">
        <v>31515</v>
      </c>
      <c r="E383" s="1">
        <v>2206.0500000000002</v>
      </c>
    </row>
    <row r="384" spans="1:5" x14ac:dyDescent="0.25">
      <c r="A384" s="5" t="s">
        <v>40</v>
      </c>
      <c r="B384">
        <v>2931</v>
      </c>
      <c r="C384" s="1">
        <v>15</v>
      </c>
      <c r="D384" s="1">
        <v>43965</v>
      </c>
      <c r="E384" s="1">
        <v>3077.55</v>
      </c>
    </row>
    <row r="385" spans="1:5" x14ac:dyDescent="0.25">
      <c r="A385" s="5" t="s">
        <v>40</v>
      </c>
      <c r="B385">
        <v>1535</v>
      </c>
      <c r="C385" s="1">
        <v>20</v>
      </c>
      <c r="D385" s="1">
        <v>30700</v>
      </c>
      <c r="E385" s="1">
        <v>2149</v>
      </c>
    </row>
    <row r="386" spans="1:5" x14ac:dyDescent="0.25">
      <c r="A386" s="5" t="s">
        <v>40</v>
      </c>
      <c r="B386">
        <v>1123</v>
      </c>
      <c r="C386" s="1">
        <v>300</v>
      </c>
      <c r="D386" s="1">
        <v>336900</v>
      </c>
      <c r="E386" s="1">
        <v>23583</v>
      </c>
    </row>
    <row r="387" spans="1:5" x14ac:dyDescent="0.25">
      <c r="A387" s="5" t="s">
        <v>40</v>
      </c>
      <c r="B387">
        <v>1404</v>
      </c>
      <c r="C387" s="1">
        <v>300</v>
      </c>
      <c r="D387" s="1">
        <v>421200</v>
      </c>
      <c r="E387" s="1">
        <v>29484</v>
      </c>
    </row>
    <row r="388" spans="1:5" x14ac:dyDescent="0.25">
      <c r="A388" s="5" t="s">
        <v>40</v>
      </c>
      <c r="B388">
        <v>2763</v>
      </c>
      <c r="C388" s="1">
        <v>12</v>
      </c>
      <c r="D388" s="1">
        <v>33156</v>
      </c>
      <c r="E388" s="1">
        <v>2320.92</v>
      </c>
    </row>
    <row r="389" spans="1:5" x14ac:dyDescent="0.25">
      <c r="A389" s="5" t="s">
        <v>40</v>
      </c>
      <c r="B389">
        <v>2125</v>
      </c>
      <c r="C389" s="1">
        <v>7</v>
      </c>
      <c r="D389" s="1">
        <v>14875</v>
      </c>
      <c r="E389" s="1">
        <v>1041.25</v>
      </c>
    </row>
    <row r="390" spans="1:5" x14ac:dyDescent="0.25">
      <c r="A390" s="5" t="s">
        <v>40</v>
      </c>
      <c r="B390">
        <v>257</v>
      </c>
      <c r="C390" s="1">
        <v>7</v>
      </c>
      <c r="D390" s="1">
        <v>1799</v>
      </c>
      <c r="E390" s="1">
        <v>143.91999999999999</v>
      </c>
    </row>
    <row r="391" spans="1:5" x14ac:dyDescent="0.25">
      <c r="A391" s="5" t="s">
        <v>40</v>
      </c>
      <c r="B391">
        <v>1114</v>
      </c>
      <c r="C391" s="1">
        <v>125</v>
      </c>
      <c r="D391" s="1">
        <v>139250</v>
      </c>
      <c r="E391" s="1">
        <v>11140</v>
      </c>
    </row>
    <row r="392" spans="1:5" x14ac:dyDescent="0.25">
      <c r="A392" s="5" t="s">
        <v>40</v>
      </c>
      <c r="B392">
        <v>1259</v>
      </c>
      <c r="C392" s="1">
        <v>7</v>
      </c>
      <c r="D392" s="1">
        <v>8813</v>
      </c>
      <c r="E392" s="1">
        <v>705.04</v>
      </c>
    </row>
    <row r="393" spans="1:5" x14ac:dyDescent="0.25">
      <c r="A393" s="5" t="s">
        <v>40</v>
      </c>
      <c r="B393">
        <v>1095</v>
      </c>
      <c r="C393" s="1">
        <v>7</v>
      </c>
      <c r="D393" s="1">
        <v>7665</v>
      </c>
      <c r="E393" s="1">
        <v>613.20000000000005</v>
      </c>
    </row>
    <row r="394" spans="1:5" x14ac:dyDescent="0.25">
      <c r="A394" s="5" t="s">
        <v>40</v>
      </c>
      <c r="B394">
        <v>1366</v>
      </c>
      <c r="C394" s="1">
        <v>20</v>
      </c>
      <c r="D394" s="1">
        <v>27320</v>
      </c>
      <c r="E394" s="1">
        <v>2185.6</v>
      </c>
    </row>
    <row r="395" spans="1:5" x14ac:dyDescent="0.25">
      <c r="A395" s="5" t="s">
        <v>40</v>
      </c>
      <c r="B395">
        <v>2460</v>
      </c>
      <c r="C395" s="1">
        <v>300</v>
      </c>
      <c r="D395" s="1">
        <v>738000</v>
      </c>
      <c r="E395" s="1">
        <v>59040</v>
      </c>
    </row>
    <row r="396" spans="1:5" x14ac:dyDescent="0.25">
      <c r="A396" s="5" t="s">
        <v>40</v>
      </c>
      <c r="B396">
        <v>678</v>
      </c>
      <c r="C396" s="1">
        <v>7</v>
      </c>
      <c r="D396" s="1">
        <v>4746</v>
      </c>
      <c r="E396" s="1">
        <v>379.68</v>
      </c>
    </row>
    <row r="397" spans="1:5" x14ac:dyDescent="0.25">
      <c r="A397" s="5" t="s">
        <v>40</v>
      </c>
      <c r="B397">
        <v>1598</v>
      </c>
      <c r="C397" s="1">
        <v>7</v>
      </c>
      <c r="D397" s="1">
        <v>11186</v>
      </c>
      <c r="E397" s="1">
        <v>894.88</v>
      </c>
    </row>
    <row r="398" spans="1:5" x14ac:dyDescent="0.25">
      <c r="A398" s="5" t="s">
        <v>40</v>
      </c>
      <c r="B398">
        <v>2409</v>
      </c>
      <c r="C398" s="1">
        <v>7</v>
      </c>
      <c r="D398" s="1">
        <v>16863</v>
      </c>
      <c r="E398" s="1">
        <v>1349.04</v>
      </c>
    </row>
    <row r="399" spans="1:5" x14ac:dyDescent="0.25">
      <c r="A399" s="5" t="s">
        <v>40</v>
      </c>
      <c r="B399">
        <v>1934</v>
      </c>
      <c r="C399" s="1">
        <v>20</v>
      </c>
      <c r="D399" s="1">
        <v>38680</v>
      </c>
      <c r="E399" s="1">
        <v>3094.4</v>
      </c>
    </row>
    <row r="400" spans="1:5" x14ac:dyDescent="0.25">
      <c r="A400" s="5" t="s">
        <v>40</v>
      </c>
      <c r="B400">
        <v>2993</v>
      </c>
      <c r="C400" s="1">
        <v>20</v>
      </c>
      <c r="D400" s="1">
        <v>59860</v>
      </c>
      <c r="E400" s="1">
        <v>4788.8</v>
      </c>
    </row>
    <row r="401" spans="1:5" x14ac:dyDescent="0.25">
      <c r="A401" s="5" t="s">
        <v>40</v>
      </c>
      <c r="B401">
        <v>2146</v>
      </c>
      <c r="C401" s="1">
        <v>350</v>
      </c>
      <c r="D401" s="1">
        <v>751100</v>
      </c>
      <c r="E401" s="1">
        <v>60088</v>
      </c>
    </row>
    <row r="402" spans="1:5" x14ac:dyDescent="0.25">
      <c r="A402" s="5" t="s">
        <v>40</v>
      </c>
      <c r="B402">
        <v>1946</v>
      </c>
      <c r="C402" s="1">
        <v>7</v>
      </c>
      <c r="D402" s="1">
        <v>13622</v>
      </c>
      <c r="E402" s="1">
        <v>1089.76</v>
      </c>
    </row>
    <row r="403" spans="1:5" x14ac:dyDescent="0.25">
      <c r="A403" s="5" t="s">
        <v>40</v>
      </c>
      <c r="B403">
        <v>1362</v>
      </c>
      <c r="C403" s="1">
        <v>350</v>
      </c>
      <c r="D403" s="1">
        <v>476700</v>
      </c>
      <c r="E403" s="1">
        <v>38136</v>
      </c>
    </row>
    <row r="404" spans="1:5" x14ac:dyDescent="0.25">
      <c r="A404" s="5" t="s">
        <v>40</v>
      </c>
      <c r="B404">
        <v>2565</v>
      </c>
      <c r="C404" s="1">
        <v>300</v>
      </c>
      <c r="D404" s="1">
        <v>769500</v>
      </c>
      <c r="E404" s="1">
        <v>69255</v>
      </c>
    </row>
    <row r="405" spans="1:5" x14ac:dyDescent="0.25">
      <c r="A405" s="5" t="s">
        <v>40</v>
      </c>
      <c r="B405">
        <v>2417</v>
      </c>
      <c r="C405" s="1">
        <v>350</v>
      </c>
      <c r="D405" s="1">
        <v>845950</v>
      </c>
      <c r="E405" s="1">
        <v>76135.5</v>
      </c>
    </row>
    <row r="406" spans="1:5" x14ac:dyDescent="0.25">
      <c r="A406" s="5" t="s">
        <v>40</v>
      </c>
      <c r="B406">
        <v>3675</v>
      </c>
      <c r="C406" s="1">
        <v>15</v>
      </c>
      <c r="D406" s="1">
        <v>55125</v>
      </c>
      <c r="E406" s="1">
        <v>4961.25</v>
      </c>
    </row>
    <row r="407" spans="1:5" x14ac:dyDescent="0.25">
      <c r="A407" s="5" t="s">
        <v>40</v>
      </c>
      <c r="B407">
        <v>1094</v>
      </c>
      <c r="C407" s="1">
        <v>300</v>
      </c>
      <c r="D407" s="1">
        <v>328200</v>
      </c>
      <c r="E407" s="1">
        <v>29538</v>
      </c>
    </row>
    <row r="408" spans="1:5" x14ac:dyDescent="0.25">
      <c r="A408" s="5" t="s">
        <v>40</v>
      </c>
      <c r="B408">
        <v>1227</v>
      </c>
      <c r="C408" s="1">
        <v>15</v>
      </c>
      <c r="D408" s="1">
        <v>18405</v>
      </c>
      <c r="E408" s="1">
        <v>1656.45</v>
      </c>
    </row>
    <row r="409" spans="1:5" x14ac:dyDescent="0.25">
      <c r="A409" s="5" t="s">
        <v>40</v>
      </c>
      <c r="B409">
        <v>367</v>
      </c>
      <c r="C409" s="1">
        <v>12</v>
      </c>
      <c r="D409" s="1">
        <v>4404</v>
      </c>
      <c r="E409" s="1">
        <v>396.36</v>
      </c>
    </row>
    <row r="410" spans="1:5" x14ac:dyDescent="0.25">
      <c r="A410" s="5" t="s">
        <v>40</v>
      </c>
      <c r="B410">
        <v>1324</v>
      </c>
      <c r="C410" s="1">
        <v>300</v>
      </c>
      <c r="D410" s="1">
        <v>397200</v>
      </c>
      <c r="E410" s="1">
        <v>35748</v>
      </c>
    </row>
    <row r="411" spans="1:5" x14ac:dyDescent="0.25">
      <c r="A411" s="5" t="s">
        <v>40</v>
      </c>
      <c r="B411">
        <v>1775</v>
      </c>
      <c r="C411" s="1">
        <v>12</v>
      </c>
      <c r="D411" s="1">
        <v>21300</v>
      </c>
      <c r="E411" s="1">
        <v>1917</v>
      </c>
    </row>
    <row r="412" spans="1:5" x14ac:dyDescent="0.25">
      <c r="A412" s="5" t="s">
        <v>40</v>
      </c>
      <c r="B412">
        <v>2797</v>
      </c>
      <c r="C412" s="1">
        <v>125</v>
      </c>
      <c r="D412" s="1">
        <v>349625</v>
      </c>
      <c r="E412" s="1">
        <v>31466.25</v>
      </c>
    </row>
    <row r="413" spans="1:5" x14ac:dyDescent="0.25">
      <c r="A413" s="5" t="s">
        <v>40</v>
      </c>
      <c r="B413">
        <v>973</v>
      </c>
      <c r="C413" s="1">
        <v>20</v>
      </c>
      <c r="D413" s="1">
        <v>19460</v>
      </c>
      <c r="E413" s="1">
        <v>1751.4</v>
      </c>
    </row>
    <row r="414" spans="1:5" x14ac:dyDescent="0.25">
      <c r="A414" s="5" t="s">
        <v>40</v>
      </c>
      <c r="B414">
        <v>1038</v>
      </c>
      <c r="C414" s="1">
        <v>20</v>
      </c>
      <c r="D414" s="1">
        <v>20760</v>
      </c>
      <c r="E414" s="1">
        <v>1868.4</v>
      </c>
    </row>
    <row r="415" spans="1:5" x14ac:dyDescent="0.25">
      <c r="A415" s="5" t="s">
        <v>40</v>
      </c>
      <c r="B415">
        <v>360</v>
      </c>
      <c r="C415" s="1">
        <v>7</v>
      </c>
      <c r="D415" s="1">
        <v>2520</v>
      </c>
      <c r="E415" s="1">
        <v>226.8</v>
      </c>
    </row>
    <row r="416" spans="1:5" x14ac:dyDescent="0.25">
      <c r="A416" s="5" t="s">
        <v>40</v>
      </c>
      <c r="B416">
        <v>386</v>
      </c>
      <c r="C416" s="1">
        <v>12</v>
      </c>
      <c r="D416" s="1">
        <v>4632</v>
      </c>
      <c r="E416" s="1">
        <v>463.2</v>
      </c>
    </row>
    <row r="417" spans="1:5" x14ac:dyDescent="0.25">
      <c r="A417" s="5" t="s">
        <v>40</v>
      </c>
      <c r="B417">
        <v>1954</v>
      </c>
      <c r="C417" s="1">
        <v>20</v>
      </c>
      <c r="D417" s="1">
        <v>39080</v>
      </c>
      <c r="E417" s="1">
        <v>3908</v>
      </c>
    </row>
    <row r="418" spans="1:5" x14ac:dyDescent="0.25">
      <c r="A418" s="5" t="s">
        <v>40</v>
      </c>
      <c r="B418">
        <v>591</v>
      </c>
      <c r="C418" s="1">
        <v>300</v>
      </c>
      <c r="D418" s="1">
        <v>177300</v>
      </c>
      <c r="E418" s="1">
        <v>17730</v>
      </c>
    </row>
    <row r="419" spans="1:5" x14ac:dyDescent="0.25">
      <c r="A419" s="5" t="s">
        <v>40</v>
      </c>
      <c r="B419">
        <v>2167</v>
      </c>
      <c r="C419" s="1">
        <v>15</v>
      </c>
      <c r="D419" s="1">
        <v>32505</v>
      </c>
      <c r="E419" s="1">
        <v>3250.5</v>
      </c>
    </row>
    <row r="420" spans="1:5" x14ac:dyDescent="0.25">
      <c r="A420" s="5" t="s">
        <v>40</v>
      </c>
      <c r="B420">
        <v>241</v>
      </c>
      <c r="C420" s="1">
        <v>20</v>
      </c>
      <c r="D420" s="1">
        <v>4820</v>
      </c>
      <c r="E420" s="1">
        <v>482</v>
      </c>
    </row>
    <row r="421" spans="1:5" x14ac:dyDescent="0.25">
      <c r="A421" s="5" t="s">
        <v>40</v>
      </c>
      <c r="B421">
        <v>2532</v>
      </c>
      <c r="C421" s="1">
        <v>7</v>
      </c>
      <c r="D421" s="1">
        <v>17724</v>
      </c>
      <c r="E421" s="1">
        <v>1949.6399999999999</v>
      </c>
    </row>
    <row r="422" spans="1:5" x14ac:dyDescent="0.25">
      <c r="A422" s="5" t="s">
        <v>40</v>
      </c>
      <c r="B422">
        <v>1198</v>
      </c>
      <c r="C422" s="1">
        <v>12</v>
      </c>
      <c r="D422" s="1">
        <v>14376</v>
      </c>
      <c r="E422" s="1">
        <v>1581.36</v>
      </c>
    </row>
    <row r="423" spans="1:5" x14ac:dyDescent="0.25">
      <c r="A423" s="5" t="s">
        <v>40</v>
      </c>
      <c r="B423">
        <v>873</v>
      </c>
      <c r="C423" s="1">
        <v>300</v>
      </c>
      <c r="D423" s="1">
        <v>261900</v>
      </c>
      <c r="E423" s="1">
        <v>28809</v>
      </c>
    </row>
    <row r="424" spans="1:5" x14ac:dyDescent="0.25">
      <c r="A424" s="5" t="s">
        <v>40</v>
      </c>
      <c r="B424">
        <v>1122</v>
      </c>
      <c r="C424" s="1">
        <v>20</v>
      </c>
      <c r="D424" s="1">
        <v>22440</v>
      </c>
      <c r="E424" s="1">
        <v>2468.4</v>
      </c>
    </row>
    <row r="425" spans="1:5" x14ac:dyDescent="0.25">
      <c r="A425" s="5" t="s">
        <v>40</v>
      </c>
      <c r="B425">
        <v>2104.5</v>
      </c>
      <c r="C425" s="1">
        <v>350</v>
      </c>
      <c r="D425" s="1">
        <v>736575</v>
      </c>
      <c r="E425" s="1">
        <v>81023.25</v>
      </c>
    </row>
    <row r="426" spans="1:5" x14ac:dyDescent="0.25">
      <c r="A426" s="5" t="s">
        <v>40</v>
      </c>
      <c r="B426">
        <v>4026</v>
      </c>
      <c r="C426" s="1">
        <v>12</v>
      </c>
      <c r="D426" s="1">
        <v>48312</v>
      </c>
      <c r="E426" s="1">
        <v>5314.32</v>
      </c>
    </row>
    <row r="427" spans="1:5" x14ac:dyDescent="0.25">
      <c r="A427" s="5" t="s">
        <v>40</v>
      </c>
      <c r="B427">
        <v>2425.5</v>
      </c>
      <c r="C427" s="1">
        <v>12</v>
      </c>
      <c r="D427" s="1">
        <v>29106</v>
      </c>
      <c r="E427" s="1">
        <v>3201.66</v>
      </c>
    </row>
    <row r="428" spans="1:5" x14ac:dyDescent="0.25">
      <c r="A428" s="5" t="s">
        <v>40</v>
      </c>
      <c r="B428">
        <v>2394</v>
      </c>
      <c r="C428" s="1">
        <v>20</v>
      </c>
      <c r="D428" s="1">
        <v>47880</v>
      </c>
      <c r="E428" s="1">
        <v>5266.8</v>
      </c>
    </row>
    <row r="429" spans="1:5" x14ac:dyDescent="0.25">
      <c r="A429" s="5" t="s">
        <v>40</v>
      </c>
      <c r="B429">
        <v>1984</v>
      </c>
      <c r="C429" s="1">
        <v>15</v>
      </c>
      <c r="D429" s="1">
        <v>29760</v>
      </c>
      <c r="E429" s="1">
        <v>3273.6</v>
      </c>
    </row>
    <row r="430" spans="1:5" x14ac:dyDescent="0.25">
      <c r="A430" s="5" t="s">
        <v>40</v>
      </c>
      <c r="B430">
        <v>2441</v>
      </c>
      <c r="C430" s="1">
        <v>125</v>
      </c>
      <c r="D430" s="1">
        <v>305125</v>
      </c>
      <c r="E430" s="1">
        <v>33563.75</v>
      </c>
    </row>
    <row r="431" spans="1:5" x14ac:dyDescent="0.25">
      <c r="A431" s="5" t="s">
        <v>40</v>
      </c>
      <c r="B431">
        <v>2992</v>
      </c>
      <c r="C431" s="1">
        <v>20</v>
      </c>
      <c r="D431" s="1">
        <v>59840</v>
      </c>
      <c r="E431" s="1">
        <v>6582.4</v>
      </c>
    </row>
    <row r="432" spans="1:5" x14ac:dyDescent="0.25">
      <c r="A432" s="5" t="s">
        <v>40</v>
      </c>
      <c r="B432">
        <v>1366</v>
      </c>
      <c r="C432" s="1">
        <v>300</v>
      </c>
      <c r="D432" s="1">
        <v>409800</v>
      </c>
      <c r="E432" s="1">
        <v>45078</v>
      </c>
    </row>
    <row r="433" spans="1:5" x14ac:dyDescent="0.25">
      <c r="A433" s="5" t="s">
        <v>40</v>
      </c>
      <c r="B433">
        <v>380</v>
      </c>
      <c r="C433" s="1">
        <v>7</v>
      </c>
      <c r="D433" s="1">
        <v>2660</v>
      </c>
      <c r="E433" s="1">
        <v>292.60000000000002</v>
      </c>
    </row>
    <row r="434" spans="1:5" x14ac:dyDescent="0.25">
      <c r="A434" s="5" t="s">
        <v>40</v>
      </c>
      <c r="B434">
        <v>3495</v>
      </c>
      <c r="C434" s="1">
        <v>300</v>
      </c>
      <c r="D434" s="1">
        <v>1048500</v>
      </c>
      <c r="E434" s="1">
        <v>125820</v>
      </c>
    </row>
    <row r="435" spans="1:5" x14ac:dyDescent="0.25">
      <c r="A435" s="5" t="s">
        <v>40</v>
      </c>
      <c r="B435">
        <v>886</v>
      </c>
      <c r="C435" s="1">
        <v>350</v>
      </c>
      <c r="D435" s="1">
        <v>310100</v>
      </c>
      <c r="E435" s="1">
        <v>37212</v>
      </c>
    </row>
    <row r="436" spans="1:5" x14ac:dyDescent="0.25">
      <c r="A436" s="5" t="s">
        <v>40</v>
      </c>
      <c r="B436">
        <v>2156</v>
      </c>
      <c r="C436" s="1">
        <v>125</v>
      </c>
      <c r="D436" s="1">
        <v>269500</v>
      </c>
      <c r="E436" s="1">
        <v>32340</v>
      </c>
    </row>
    <row r="437" spans="1:5" x14ac:dyDescent="0.25">
      <c r="A437" s="5" t="s">
        <v>40</v>
      </c>
      <c r="B437">
        <v>905</v>
      </c>
      <c r="C437" s="1">
        <v>20</v>
      </c>
      <c r="D437" s="1">
        <v>18100</v>
      </c>
      <c r="E437" s="1">
        <v>2172</v>
      </c>
    </row>
    <row r="438" spans="1:5" x14ac:dyDescent="0.25">
      <c r="A438" s="5" t="s">
        <v>40</v>
      </c>
      <c r="B438">
        <v>1715</v>
      </c>
      <c r="C438" s="1">
        <v>20</v>
      </c>
      <c r="D438" s="1">
        <v>34300</v>
      </c>
      <c r="E438" s="1">
        <v>4116</v>
      </c>
    </row>
    <row r="439" spans="1:5" x14ac:dyDescent="0.25">
      <c r="A439" s="5" t="s">
        <v>40</v>
      </c>
      <c r="B439">
        <v>1594</v>
      </c>
      <c r="C439" s="1">
        <v>350</v>
      </c>
      <c r="D439" s="1">
        <v>557900</v>
      </c>
      <c r="E439" s="1">
        <v>66948</v>
      </c>
    </row>
    <row r="440" spans="1:5" x14ac:dyDescent="0.25">
      <c r="A440" s="5" t="s">
        <v>40</v>
      </c>
      <c r="B440">
        <v>1359</v>
      </c>
      <c r="C440" s="1">
        <v>300</v>
      </c>
      <c r="D440" s="1">
        <v>407700</v>
      </c>
      <c r="E440" s="1">
        <v>48924</v>
      </c>
    </row>
    <row r="441" spans="1:5" x14ac:dyDescent="0.25">
      <c r="A441" s="5" t="s">
        <v>40</v>
      </c>
      <c r="B441">
        <v>2150</v>
      </c>
      <c r="C441" s="1">
        <v>300</v>
      </c>
      <c r="D441" s="1">
        <v>645000</v>
      </c>
      <c r="E441" s="1">
        <v>77400</v>
      </c>
    </row>
    <row r="442" spans="1:5" x14ac:dyDescent="0.25">
      <c r="A442" s="5" t="s">
        <v>40</v>
      </c>
      <c r="B442">
        <v>1197</v>
      </c>
      <c r="C442" s="1">
        <v>350</v>
      </c>
      <c r="D442" s="1">
        <v>418950</v>
      </c>
      <c r="E442" s="1">
        <v>50274</v>
      </c>
    </row>
    <row r="443" spans="1:5" x14ac:dyDescent="0.25">
      <c r="A443" s="5" t="s">
        <v>40</v>
      </c>
      <c r="B443">
        <v>380</v>
      </c>
      <c r="C443" s="1">
        <v>15</v>
      </c>
      <c r="D443" s="1">
        <v>5700</v>
      </c>
      <c r="E443" s="1">
        <v>684</v>
      </c>
    </row>
    <row r="444" spans="1:5" x14ac:dyDescent="0.25">
      <c r="A444" s="5" t="s">
        <v>40</v>
      </c>
      <c r="B444">
        <v>1233</v>
      </c>
      <c r="C444" s="1">
        <v>20</v>
      </c>
      <c r="D444" s="1">
        <v>24660</v>
      </c>
      <c r="E444" s="1">
        <v>2959.2</v>
      </c>
    </row>
    <row r="445" spans="1:5" x14ac:dyDescent="0.25">
      <c r="A445" s="5" t="s">
        <v>40</v>
      </c>
      <c r="B445">
        <v>1531</v>
      </c>
      <c r="C445" s="1">
        <v>20</v>
      </c>
      <c r="D445" s="1">
        <v>30620</v>
      </c>
      <c r="E445" s="1">
        <v>3674.4</v>
      </c>
    </row>
    <row r="446" spans="1:5" x14ac:dyDescent="0.25">
      <c r="A446" s="5" t="s">
        <v>40</v>
      </c>
      <c r="B446">
        <v>1438.5</v>
      </c>
      <c r="C446" s="1">
        <v>7</v>
      </c>
      <c r="D446" s="1">
        <v>10069.5</v>
      </c>
      <c r="E446" s="1">
        <v>1309.0350000000001</v>
      </c>
    </row>
    <row r="447" spans="1:5" x14ac:dyDescent="0.25">
      <c r="A447" s="5" t="s">
        <v>40</v>
      </c>
      <c r="B447">
        <v>807</v>
      </c>
      <c r="C447" s="1">
        <v>300</v>
      </c>
      <c r="D447" s="1">
        <v>242100</v>
      </c>
      <c r="E447" s="1">
        <v>31473</v>
      </c>
    </row>
    <row r="448" spans="1:5" x14ac:dyDescent="0.25">
      <c r="A448" s="5" t="s">
        <v>40</v>
      </c>
      <c r="B448">
        <v>2641</v>
      </c>
      <c r="C448" s="1">
        <v>20</v>
      </c>
      <c r="D448" s="1">
        <v>52820</v>
      </c>
      <c r="E448" s="1">
        <v>6866.6</v>
      </c>
    </row>
    <row r="449" spans="1:5" x14ac:dyDescent="0.25">
      <c r="A449" s="5" t="s">
        <v>40</v>
      </c>
      <c r="B449">
        <v>2708</v>
      </c>
      <c r="C449" s="1">
        <v>20</v>
      </c>
      <c r="D449" s="1">
        <v>54160</v>
      </c>
      <c r="E449" s="1">
        <v>7040.8</v>
      </c>
    </row>
    <row r="450" spans="1:5" x14ac:dyDescent="0.25">
      <c r="A450" s="5" t="s">
        <v>40</v>
      </c>
      <c r="B450">
        <v>2632</v>
      </c>
      <c r="C450" s="1">
        <v>350</v>
      </c>
      <c r="D450" s="1">
        <v>921200</v>
      </c>
      <c r="E450" s="1">
        <v>119756</v>
      </c>
    </row>
    <row r="451" spans="1:5" x14ac:dyDescent="0.25">
      <c r="A451" s="5" t="s">
        <v>40</v>
      </c>
      <c r="B451">
        <v>1583</v>
      </c>
      <c r="C451" s="1">
        <v>125</v>
      </c>
      <c r="D451" s="1">
        <v>197875</v>
      </c>
      <c r="E451" s="1">
        <v>25723.75</v>
      </c>
    </row>
    <row r="452" spans="1:5" x14ac:dyDescent="0.25">
      <c r="A452" s="5" t="s">
        <v>40</v>
      </c>
      <c r="B452">
        <v>571</v>
      </c>
      <c r="C452" s="1">
        <v>12</v>
      </c>
      <c r="D452" s="1">
        <v>6852</v>
      </c>
      <c r="E452" s="1">
        <v>890.76</v>
      </c>
    </row>
    <row r="453" spans="1:5" x14ac:dyDescent="0.25">
      <c r="A453" s="5" t="s">
        <v>40</v>
      </c>
      <c r="B453">
        <v>2696</v>
      </c>
      <c r="C453" s="1">
        <v>7</v>
      </c>
      <c r="D453" s="1">
        <v>18872</v>
      </c>
      <c r="E453" s="1">
        <v>2453.36</v>
      </c>
    </row>
    <row r="454" spans="1:5" x14ac:dyDescent="0.25">
      <c r="A454" s="5" t="s">
        <v>40</v>
      </c>
      <c r="B454">
        <v>1565</v>
      </c>
      <c r="C454" s="1">
        <v>15</v>
      </c>
      <c r="D454" s="1">
        <v>23475</v>
      </c>
      <c r="E454" s="1">
        <v>3051.75</v>
      </c>
    </row>
    <row r="455" spans="1:5" x14ac:dyDescent="0.25">
      <c r="A455" s="5" t="s">
        <v>40</v>
      </c>
      <c r="B455">
        <v>1249</v>
      </c>
      <c r="C455" s="1">
        <v>20</v>
      </c>
      <c r="D455" s="1">
        <v>24980</v>
      </c>
      <c r="E455" s="1">
        <v>3247.4</v>
      </c>
    </row>
    <row r="456" spans="1:5" x14ac:dyDescent="0.25">
      <c r="A456" s="5" t="s">
        <v>40</v>
      </c>
      <c r="B456">
        <v>357</v>
      </c>
      <c r="C456" s="1">
        <v>350</v>
      </c>
      <c r="D456" s="1">
        <v>124950</v>
      </c>
      <c r="E456" s="1">
        <v>16243.5</v>
      </c>
    </row>
    <row r="457" spans="1:5" x14ac:dyDescent="0.25">
      <c r="A457" s="5" t="s">
        <v>40</v>
      </c>
      <c r="B457">
        <v>1013</v>
      </c>
      <c r="C457" s="1">
        <v>12</v>
      </c>
      <c r="D457" s="1">
        <v>12156</v>
      </c>
      <c r="E457" s="1">
        <v>1580.28</v>
      </c>
    </row>
    <row r="458" spans="1:5" x14ac:dyDescent="0.25">
      <c r="A458" s="5" t="s">
        <v>40</v>
      </c>
      <c r="B458">
        <v>278</v>
      </c>
      <c r="C458" s="1">
        <v>15</v>
      </c>
      <c r="D458" s="1">
        <v>4170</v>
      </c>
      <c r="E458" s="1">
        <v>583.79999999999995</v>
      </c>
    </row>
    <row r="459" spans="1:5" x14ac:dyDescent="0.25">
      <c r="A459" s="5" t="s">
        <v>40</v>
      </c>
      <c r="B459">
        <v>2428</v>
      </c>
      <c r="C459" s="1">
        <v>20</v>
      </c>
      <c r="D459" s="1">
        <v>48560</v>
      </c>
      <c r="E459" s="1">
        <v>6798.4</v>
      </c>
    </row>
    <row r="460" spans="1:5" x14ac:dyDescent="0.25">
      <c r="A460" s="5" t="s">
        <v>40</v>
      </c>
      <c r="B460">
        <v>1767</v>
      </c>
      <c r="C460" s="1">
        <v>15</v>
      </c>
      <c r="D460" s="1">
        <v>26505</v>
      </c>
      <c r="E460" s="1">
        <v>3710.7</v>
      </c>
    </row>
    <row r="461" spans="1:5" x14ac:dyDescent="0.25">
      <c r="A461" s="5" t="s">
        <v>40</v>
      </c>
      <c r="B461">
        <v>1393</v>
      </c>
      <c r="C461" s="1">
        <v>12</v>
      </c>
      <c r="D461" s="1">
        <v>16716</v>
      </c>
      <c r="E461" s="1">
        <v>2340.2399999999998</v>
      </c>
    </row>
    <row r="462" spans="1:5" x14ac:dyDescent="0.25">
      <c r="A462" s="5" t="s">
        <v>40</v>
      </c>
      <c r="B462">
        <v>260</v>
      </c>
      <c r="C462" s="1">
        <v>20</v>
      </c>
      <c r="D462" s="1">
        <v>5200</v>
      </c>
      <c r="E462" s="1">
        <v>728</v>
      </c>
    </row>
    <row r="463" spans="1:5" x14ac:dyDescent="0.25">
      <c r="A463" s="5" t="s">
        <v>40</v>
      </c>
      <c r="B463">
        <v>2470</v>
      </c>
      <c r="C463" s="1">
        <v>15</v>
      </c>
      <c r="D463" s="1">
        <v>37050</v>
      </c>
      <c r="E463" s="1">
        <v>5187</v>
      </c>
    </row>
    <row r="464" spans="1:5" x14ac:dyDescent="0.25">
      <c r="A464" s="5" t="s">
        <v>40</v>
      </c>
      <c r="B464">
        <v>1743</v>
      </c>
      <c r="C464" s="1">
        <v>15</v>
      </c>
      <c r="D464" s="1">
        <v>26145</v>
      </c>
      <c r="E464" s="1">
        <v>3660.3</v>
      </c>
    </row>
    <row r="465" spans="1:5" x14ac:dyDescent="0.25">
      <c r="A465" s="5" t="s">
        <v>40</v>
      </c>
      <c r="B465">
        <v>2914</v>
      </c>
      <c r="C465" s="1">
        <v>12</v>
      </c>
      <c r="D465" s="1">
        <v>34968</v>
      </c>
      <c r="E465" s="1">
        <v>4895.5200000000004</v>
      </c>
    </row>
    <row r="466" spans="1:5" x14ac:dyDescent="0.25">
      <c r="A466" s="5" t="s">
        <v>40</v>
      </c>
      <c r="B466">
        <v>1731</v>
      </c>
      <c r="C466" s="1">
        <v>7</v>
      </c>
      <c r="D466" s="1">
        <v>12117</v>
      </c>
      <c r="E466" s="1">
        <v>1696.38</v>
      </c>
    </row>
    <row r="467" spans="1:5" x14ac:dyDescent="0.25">
      <c r="A467" s="5" t="s">
        <v>40</v>
      </c>
      <c r="B467">
        <v>700</v>
      </c>
      <c r="C467" s="1">
        <v>350</v>
      </c>
      <c r="D467" s="1">
        <v>245000</v>
      </c>
      <c r="E467" s="1">
        <v>34300</v>
      </c>
    </row>
    <row r="468" spans="1:5" x14ac:dyDescent="0.25">
      <c r="A468" s="5" t="s">
        <v>40</v>
      </c>
      <c r="B468">
        <v>2222</v>
      </c>
      <c r="C468" s="1">
        <v>12</v>
      </c>
      <c r="D468" s="1">
        <v>26664</v>
      </c>
      <c r="E468" s="1">
        <v>3732.96</v>
      </c>
    </row>
    <row r="469" spans="1:5" x14ac:dyDescent="0.25">
      <c r="A469" s="5" t="s">
        <v>40</v>
      </c>
      <c r="B469">
        <v>1177</v>
      </c>
      <c r="C469" s="1">
        <v>350</v>
      </c>
      <c r="D469" s="1">
        <v>411950</v>
      </c>
      <c r="E469" s="1">
        <v>57673</v>
      </c>
    </row>
    <row r="470" spans="1:5" x14ac:dyDescent="0.25">
      <c r="A470" s="5" t="s">
        <v>40</v>
      </c>
      <c r="B470">
        <v>1922</v>
      </c>
      <c r="C470" s="1">
        <v>350</v>
      </c>
      <c r="D470" s="1">
        <v>672700</v>
      </c>
      <c r="E470" s="1">
        <v>94178</v>
      </c>
    </row>
    <row r="471" spans="1:5" x14ac:dyDescent="0.25">
      <c r="A471" s="5" t="s">
        <v>40</v>
      </c>
      <c r="B471">
        <v>1158</v>
      </c>
      <c r="C471" s="1">
        <v>20</v>
      </c>
      <c r="D471" s="1">
        <v>23160</v>
      </c>
      <c r="E471" s="1">
        <v>3474</v>
      </c>
    </row>
    <row r="472" spans="1:5" x14ac:dyDescent="0.25">
      <c r="A472" s="5" t="s">
        <v>40</v>
      </c>
      <c r="B472">
        <v>1614</v>
      </c>
      <c r="C472" s="1">
        <v>15</v>
      </c>
      <c r="D472" s="1">
        <v>24210</v>
      </c>
      <c r="E472" s="1">
        <v>3631.5</v>
      </c>
    </row>
    <row r="473" spans="1:5" x14ac:dyDescent="0.25">
      <c r="A473" s="5" t="s">
        <v>40</v>
      </c>
      <c r="B473">
        <v>2535</v>
      </c>
      <c r="C473" s="1">
        <v>7</v>
      </c>
      <c r="D473" s="1">
        <v>17745</v>
      </c>
      <c r="E473" s="1">
        <v>2661.75</v>
      </c>
    </row>
    <row r="474" spans="1:5" x14ac:dyDescent="0.25">
      <c r="A474" s="5" t="s">
        <v>40</v>
      </c>
      <c r="B474">
        <v>2851</v>
      </c>
      <c r="C474" s="1">
        <v>350</v>
      </c>
      <c r="D474" s="1">
        <v>997850</v>
      </c>
      <c r="E474" s="1">
        <v>149677.5</v>
      </c>
    </row>
    <row r="475" spans="1:5" x14ac:dyDescent="0.25">
      <c r="A475" s="5" t="s">
        <v>40</v>
      </c>
      <c r="B475">
        <v>2559</v>
      </c>
      <c r="C475" s="1">
        <v>15</v>
      </c>
      <c r="D475" s="1">
        <v>38385</v>
      </c>
      <c r="E475" s="1">
        <v>5757.75</v>
      </c>
    </row>
    <row r="476" spans="1:5" x14ac:dyDescent="0.25">
      <c r="A476" s="5" t="s">
        <v>40</v>
      </c>
      <c r="B476">
        <v>267</v>
      </c>
      <c r="C476" s="1">
        <v>20</v>
      </c>
      <c r="D476" s="1">
        <v>5340</v>
      </c>
      <c r="E476" s="1">
        <v>801</v>
      </c>
    </row>
    <row r="477" spans="1:5" x14ac:dyDescent="0.25">
      <c r="A477" s="5" t="s">
        <v>40</v>
      </c>
      <c r="B477">
        <v>1085</v>
      </c>
      <c r="C477" s="1">
        <v>125</v>
      </c>
      <c r="D477" s="1">
        <v>135625</v>
      </c>
      <c r="E477" s="1">
        <v>20343.75</v>
      </c>
    </row>
    <row r="478" spans="1:5" x14ac:dyDescent="0.25">
      <c r="A478" s="5" t="s">
        <v>40</v>
      </c>
      <c r="B478">
        <v>1175</v>
      </c>
      <c r="C478" s="1">
        <v>15</v>
      </c>
      <c r="D478" s="1">
        <v>17625</v>
      </c>
      <c r="E478" s="1">
        <v>2643.75</v>
      </c>
    </row>
    <row r="479" spans="1:5" x14ac:dyDescent="0.25">
      <c r="A479" s="5" t="s">
        <v>40</v>
      </c>
      <c r="B479">
        <v>2007</v>
      </c>
      <c r="C479" s="1">
        <v>350</v>
      </c>
      <c r="D479" s="1">
        <v>702450</v>
      </c>
      <c r="E479" s="1">
        <v>105367.5</v>
      </c>
    </row>
    <row r="480" spans="1:5" x14ac:dyDescent="0.25">
      <c r="A480" s="5" t="s">
        <v>40</v>
      </c>
      <c r="B480">
        <v>2151</v>
      </c>
      <c r="C480" s="1">
        <v>350</v>
      </c>
      <c r="D480" s="1">
        <v>752850</v>
      </c>
      <c r="E480" s="1">
        <v>112927.5</v>
      </c>
    </row>
    <row r="481" spans="1:5" x14ac:dyDescent="0.25">
      <c r="A481" s="5" t="s">
        <v>40</v>
      </c>
      <c r="B481">
        <v>914</v>
      </c>
      <c r="C481" s="1">
        <v>12</v>
      </c>
      <c r="D481" s="1">
        <v>10968</v>
      </c>
      <c r="E481" s="1">
        <v>1645.2</v>
      </c>
    </row>
    <row r="482" spans="1:5" x14ac:dyDescent="0.25">
      <c r="A482" s="5" t="s">
        <v>40</v>
      </c>
      <c r="B482">
        <v>293</v>
      </c>
      <c r="C482" s="1">
        <v>20</v>
      </c>
      <c r="D482" s="1">
        <v>5860</v>
      </c>
      <c r="E482" s="1">
        <v>879</v>
      </c>
    </row>
    <row r="483" spans="1:5" x14ac:dyDescent="0.25">
      <c r="A483" s="5" t="s">
        <v>40</v>
      </c>
      <c r="B483">
        <v>723</v>
      </c>
      <c r="C483" s="1">
        <v>7</v>
      </c>
      <c r="D483" s="1">
        <v>5061</v>
      </c>
      <c r="E483" s="1">
        <v>759.15000000000009</v>
      </c>
    </row>
    <row r="484" spans="1:5" x14ac:dyDescent="0.25">
      <c r="A484" s="1" t="s">
        <v>41</v>
      </c>
      <c r="B484">
        <v>1493</v>
      </c>
      <c r="C484" s="1">
        <v>7</v>
      </c>
      <c r="D484" s="1">
        <v>10451</v>
      </c>
      <c r="E484" s="1">
        <v>0</v>
      </c>
    </row>
    <row r="485" spans="1:5" x14ac:dyDescent="0.25">
      <c r="A485" s="5" t="s">
        <v>41</v>
      </c>
      <c r="B485">
        <v>1804</v>
      </c>
      <c r="C485" s="1">
        <v>125</v>
      </c>
      <c r="D485" s="1">
        <v>225500</v>
      </c>
      <c r="E485" s="1">
        <v>0</v>
      </c>
    </row>
    <row r="486" spans="1:5" x14ac:dyDescent="0.25">
      <c r="A486" s="5" t="s">
        <v>41</v>
      </c>
      <c r="B486">
        <v>2161</v>
      </c>
      <c r="C486" s="1">
        <v>12</v>
      </c>
      <c r="D486" s="1">
        <v>25932</v>
      </c>
      <c r="E486" s="1">
        <v>0</v>
      </c>
    </row>
    <row r="487" spans="1:5" x14ac:dyDescent="0.25">
      <c r="A487" s="5" t="s">
        <v>41</v>
      </c>
      <c r="B487">
        <v>1006</v>
      </c>
      <c r="C487" s="1">
        <v>350</v>
      </c>
      <c r="D487" s="1">
        <v>352100</v>
      </c>
      <c r="E487" s="1">
        <v>0</v>
      </c>
    </row>
    <row r="488" spans="1:5" x14ac:dyDescent="0.25">
      <c r="A488" s="5" t="s">
        <v>41</v>
      </c>
      <c r="B488">
        <v>1545</v>
      </c>
      <c r="C488" s="1">
        <v>12</v>
      </c>
      <c r="D488" s="1">
        <v>18540</v>
      </c>
      <c r="E488" s="1">
        <v>0</v>
      </c>
    </row>
    <row r="489" spans="1:5" x14ac:dyDescent="0.25">
      <c r="A489" s="5" t="s">
        <v>41</v>
      </c>
      <c r="B489">
        <v>2821</v>
      </c>
      <c r="C489" s="1">
        <v>125</v>
      </c>
      <c r="D489" s="1">
        <v>352625</v>
      </c>
      <c r="E489" s="1">
        <v>0</v>
      </c>
    </row>
    <row r="490" spans="1:5" x14ac:dyDescent="0.25">
      <c r="A490" s="5" t="s">
        <v>41</v>
      </c>
      <c r="B490">
        <v>345</v>
      </c>
      <c r="C490" s="1">
        <v>125</v>
      </c>
      <c r="D490" s="1">
        <v>43125</v>
      </c>
      <c r="E490" s="1">
        <v>0</v>
      </c>
    </row>
    <row r="491" spans="1:5" x14ac:dyDescent="0.25">
      <c r="A491" s="5" t="s">
        <v>41</v>
      </c>
      <c r="B491">
        <v>639</v>
      </c>
      <c r="C491" s="1">
        <v>7</v>
      </c>
      <c r="D491" s="1">
        <v>4473</v>
      </c>
      <c r="E491" s="1">
        <v>44.73</v>
      </c>
    </row>
    <row r="492" spans="1:5" x14ac:dyDescent="0.25">
      <c r="A492" s="5" t="s">
        <v>41</v>
      </c>
      <c r="B492">
        <v>3864</v>
      </c>
      <c r="C492" s="1">
        <v>20</v>
      </c>
      <c r="D492" s="1">
        <v>77280</v>
      </c>
      <c r="E492" s="1">
        <v>772.80000000000007</v>
      </c>
    </row>
    <row r="493" spans="1:5" x14ac:dyDescent="0.25">
      <c r="A493" s="5" t="s">
        <v>41</v>
      </c>
      <c r="B493">
        <v>362</v>
      </c>
      <c r="C493" s="1">
        <v>7</v>
      </c>
      <c r="D493" s="1">
        <v>2534</v>
      </c>
      <c r="E493" s="1">
        <v>25.34</v>
      </c>
    </row>
    <row r="494" spans="1:5" x14ac:dyDescent="0.25">
      <c r="A494" s="5" t="s">
        <v>41</v>
      </c>
      <c r="B494">
        <v>923</v>
      </c>
      <c r="C494" s="1">
        <v>125</v>
      </c>
      <c r="D494" s="1">
        <v>115375</v>
      </c>
      <c r="E494" s="1">
        <v>1153.75</v>
      </c>
    </row>
    <row r="495" spans="1:5" x14ac:dyDescent="0.25">
      <c r="A495" s="5" t="s">
        <v>41</v>
      </c>
      <c r="B495">
        <v>663</v>
      </c>
      <c r="C495" s="1">
        <v>125</v>
      </c>
      <c r="D495" s="1">
        <v>82875</v>
      </c>
      <c r="E495" s="1">
        <v>828.75</v>
      </c>
    </row>
    <row r="496" spans="1:5" x14ac:dyDescent="0.25">
      <c r="A496" s="5" t="s">
        <v>41</v>
      </c>
      <c r="B496">
        <v>2092</v>
      </c>
      <c r="C496" s="1">
        <v>7</v>
      </c>
      <c r="D496" s="1">
        <v>14644</v>
      </c>
      <c r="E496" s="1">
        <v>146.44</v>
      </c>
    </row>
    <row r="497" spans="1:5" x14ac:dyDescent="0.25">
      <c r="A497" s="5" t="s">
        <v>41</v>
      </c>
      <c r="B497">
        <v>1566</v>
      </c>
      <c r="C497" s="1">
        <v>20</v>
      </c>
      <c r="D497" s="1">
        <v>31320</v>
      </c>
      <c r="E497" s="1">
        <v>626.4</v>
      </c>
    </row>
    <row r="498" spans="1:5" x14ac:dyDescent="0.25">
      <c r="A498" s="5" t="s">
        <v>41</v>
      </c>
      <c r="B498">
        <v>2966</v>
      </c>
      <c r="C498" s="1">
        <v>350</v>
      </c>
      <c r="D498" s="1">
        <v>1038100</v>
      </c>
      <c r="E498" s="1">
        <v>20762</v>
      </c>
    </row>
    <row r="499" spans="1:5" x14ac:dyDescent="0.25">
      <c r="A499" s="5" t="s">
        <v>41</v>
      </c>
      <c r="B499">
        <v>2877</v>
      </c>
      <c r="C499" s="1">
        <v>350</v>
      </c>
      <c r="D499" s="1">
        <v>1006950</v>
      </c>
      <c r="E499" s="1">
        <v>20139</v>
      </c>
    </row>
    <row r="500" spans="1:5" x14ac:dyDescent="0.25">
      <c r="A500" s="5" t="s">
        <v>41</v>
      </c>
      <c r="B500">
        <v>809</v>
      </c>
      <c r="C500" s="1">
        <v>125</v>
      </c>
      <c r="D500" s="1">
        <v>101125</v>
      </c>
      <c r="E500" s="1">
        <v>2022.5</v>
      </c>
    </row>
    <row r="501" spans="1:5" x14ac:dyDescent="0.25">
      <c r="A501" s="5" t="s">
        <v>41</v>
      </c>
      <c r="B501">
        <v>2145</v>
      </c>
      <c r="C501" s="1">
        <v>125</v>
      </c>
      <c r="D501" s="1">
        <v>268125</v>
      </c>
      <c r="E501" s="1">
        <v>5362.5</v>
      </c>
    </row>
    <row r="502" spans="1:5" x14ac:dyDescent="0.25">
      <c r="A502" s="5" t="s">
        <v>41</v>
      </c>
      <c r="B502">
        <v>1055</v>
      </c>
      <c r="C502" s="1">
        <v>12</v>
      </c>
      <c r="D502" s="1">
        <v>12660</v>
      </c>
      <c r="E502" s="1">
        <v>253.2</v>
      </c>
    </row>
    <row r="503" spans="1:5" x14ac:dyDescent="0.25">
      <c r="A503" s="5" t="s">
        <v>41</v>
      </c>
      <c r="B503">
        <v>544</v>
      </c>
      <c r="C503" s="1">
        <v>20</v>
      </c>
      <c r="D503" s="1">
        <v>10880</v>
      </c>
      <c r="E503" s="1">
        <v>217.6</v>
      </c>
    </row>
    <row r="504" spans="1:5" x14ac:dyDescent="0.25">
      <c r="A504" s="5" t="s">
        <v>41</v>
      </c>
      <c r="B504">
        <v>1084</v>
      </c>
      <c r="C504" s="1">
        <v>12</v>
      </c>
      <c r="D504" s="1">
        <v>13008</v>
      </c>
      <c r="E504" s="1">
        <v>260.16000000000003</v>
      </c>
    </row>
    <row r="505" spans="1:5" x14ac:dyDescent="0.25">
      <c r="A505" s="5" t="s">
        <v>41</v>
      </c>
      <c r="B505">
        <v>2009</v>
      </c>
      <c r="C505" s="1">
        <v>125</v>
      </c>
      <c r="D505" s="1">
        <v>251125</v>
      </c>
      <c r="E505" s="1">
        <v>7533.75</v>
      </c>
    </row>
    <row r="506" spans="1:5" x14ac:dyDescent="0.25">
      <c r="A506" s="5" t="s">
        <v>41</v>
      </c>
      <c r="B506">
        <v>3850.5</v>
      </c>
      <c r="C506" s="1">
        <v>20</v>
      </c>
      <c r="D506" s="1">
        <v>77010</v>
      </c>
      <c r="E506" s="1">
        <v>2310.3000000000002</v>
      </c>
    </row>
    <row r="507" spans="1:5" x14ac:dyDescent="0.25">
      <c r="A507" s="5" t="s">
        <v>41</v>
      </c>
      <c r="B507">
        <v>736</v>
      </c>
      <c r="C507" s="1">
        <v>20</v>
      </c>
      <c r="D507" s="1">
        <v>14720</v>
      </c>
      <c r="E507" s="1">
        <v>588.79999999999995</v>
      </c>
    </row>
    <row r="508" spans="1:5" x14ac:dyDescent="0.25">
      <c r="A508" s="5" t="s">
        <v>41</v>
      </c>
      <c r="B508">
        <v>1465</v>
      </c>
      <c r="C508" s="1">
        <v>12</v>
      </c>
      <c r="D508" s="1">
        <v>17580</v>
      </c>
      <c r="E508" s="1">
        <v>703.2</v>
      </c>
    </row>
    <row r="509" spans="1:5" x14ac:dyDescent="0.25">
      <c r="A509" s="5" t="s">
        <v>41</v>
      </c>
      <c r="B509">
        <v>2646</v>
      </c>
      <c r="C509" s="1">
        <v>20</v>
      </c>
      <c r="D509" s="1">
        <v>52920</v>
      </c>
      <c r="E509" s="1">
        <v>2116.8000000000002</v>
      </c>
    </row>
    <row r="510" spans="1:5" x14ac:dyDescent="0.25">
      <c r="A510" s="5" t="s">
        <v>41</v>
      </c>
      <c r="B510">
        <v>2177</v>
      </c>
      <c r="C510" s="1">
        <v>350</v>
      </c>
      <c r="D510" s="1">
        <v>761950</v>
      </c>
      <c r="E510" s="1">
        <v>30478</v>
      </c>
    </row>
    <row r="511" spans="1:5" x14ac:dyDescent="0.25">
      <c r="A511" s="5" t="s">
        <v>41</v>
      </c>
      <c r="B511">
        <v>2431</v>
      </c>
      <c r="C511" s="1">
        <v>12</v>
      </c>
      <c r="D511" s="1">
        <v>29172</v>
      </c>
      <c r="E511" s="1">
        <v>1458.6</v>
      </c>
    </row>
    <row r="512" spans="1:5" x14ac:dyDescent="0.25">
      <c r="A512" s="5" t="s">
        <v>41</v>
      </c>
      <c r="B512">
        <v>555</v>
      </c>
      <c r="C512" s="1">
        <v>15</v>
      </c>
      <c r="D512" s="1">
        <v>8325</v>
      </c>
      <c r="E512" s="1">
        <v>416.25</v>
      </c>
    </row>
    <row r="513" spans="1:5" x14ac:dyDescent="0.25">
      <c r="A513" s="5" t="s">
        <v>41</v>
      </c>
      <c r="B513">
        <v>2861</v>
      </c>
      <c r="C513" s="1">
        <v>15</v>
      </c>
      <c r="D513" s="1">
        <v>42915</v>
      </c>
      <c r="E513" s="1">
        <v>2145.75</v>
      </c>
    </row>
    <row r="514" spans="1:5" x14ac:dyDescent="0.25">
      <c r="A514" s="5" t="s">
        <v>41</v>
      </c>
      <c r="B514">
        <v>807</v>
      </c>
      <c r="C514" s="1">
        <v>125</v>
      </c>
      <c r="D514" s="1">
        <v>100875</v>
      </c>
      <c r="E514" s="1">
        <v>5043.75</v>
      </c>
    </row>
    <row r="515" spans="1:5" x14ac:dyDescent="0.25">
      <c r="A515" s="5" t="s">
        <v>41</v>
      </c>
      <c r="B515">
        <v>602</v>
      </c>
      <c r="C515" s="1">
        <v>350</v>
      </c>
      <c r="D515" s="1">
        <v>210700</v>
      </c>
      <c r="E515" s="1">
        <v>10535</v>
      </c>
    </row>
    <row r="516" spans="1:5" x14ac:dyDescent="0.25">
      <c r="A516" s="5" t="s">
        <v>41</v>
      </c>
      <c r="B516">
        <v>2832</v>
      </c>
      <c r="C516" s="1">
        <v>20</v>
      </c>
      <c r="D516" s="1">
        <v>56640</v>
      </c>
      <c r="E516" s="1">
        <v>2832</v>
      </c>
    </row>
    <row r="517" spans="1:5" x14ac:dyDescent="0.25">
      <c r="A517" s="5" t="s">
        <v>41</v>
      </c>
      <c r="B517">
        <v>1579</v>
      </c>
      <c r="C517" s="1">
        <v>20</v>
      </c>
      <c r="D517" s="1">
        <v>31580</v>
      </c>
      <c r="E517" s="1">
        <v>1579</v>
      </c>
    </row>
    <row r="518" spans="1:5" x14ac:dyDescent="0.25">
      <c r="A518" s="5" t="s">
        <v>41</v>
      </c>
      <c r="B518">
        <v>861</v>
      </c>
      <c r="C518" s="1">
        <v>125</v>
      </c>
      <c r="D518" s="1">
        <v>107625</v>
      </c>
      <c r="E518" s="1">
        <v>5381.25</v>
      </c>
    </row>
    <row r="519" spans="1:5" x14ac:dyDescent="0.25">
      <c r="A519" s="5" t="s">
        <v>41</v>
      </c>
      <c r="B519">
        <v>704</v>
      </c>
      <c r="C519" s="1">
        <v>125</v>
      </c>
      <c r="D519" s="1">
        <v>88000</v>
      </c>
      <c r="E519" s="1">
        <v>4400</v>
      </c>
    </row>
    <row r="520" spans="1:5" x14ac:dyDescent="0.25">
      <c r="A520" s="5" t="s">
        <v>41</v>
      </c>
      <c r="B520">
        <v>1033</v>
      </c>
      <c r="C520" s="1">
        <v>20</v>
      </c>
      <c r="D520" s="1">
        <v>20660</v>
      </c>
      <c r="E520" s="1">
        <v>1033</v>
      </c>
    </row>
    <row r="521" spans="1:5" x14ac:dyDescent="0.25">
      <c r="A521" s="5" t="s">
        <v>41</v>
      </c>
      <c r="B521">
        <v>1250</v>
      </c>
      <c r="C521" s="1">
        <v>300</v>
      </c>
      <c r="D521" s="1">
        <v>375000</v>
      </c>
      <c r="E521" s="1">
        <v>18750</v>
      </c>
    </row>
    <row r="522" spans="1:5" x14ac:dyDescent="0.25">
      <c r="A522" s="5" t="s">
        <v>41</v>
      </c>
      <c r="B522">
        <v>952</v>
      </c>
      <c r="C522" s="1">
        <v>125</v>
      </c>
      <c r="D522" s="1">
        <v>119000</v>
      </c>
      <c r="E522" s="1">
        <v>7140</v>
      </c>
    </row>
    <row r="523" spans="1:5" x14ac:dyDescent="0.25">
      <c r="A523" s="5" t="s">
        <v>41</v>
      </c>
      <c r="B523">
        <v>2755</v>
      </c>
      <c r="C523" s="1">
        <v>125</v>
      </c>
      <c r="D523" s="1">
        <v>344375</v>
      </c>
      <c r="E523" s="1">
        <v>20662.5</v>
      </c>
    </row>
    <row r="524" spans="1:5" x14ac:dyDescent="0.25">
      <c r="A524" s="5" t="s">
        <v>41</v>
      </c>
      <c r="B524">
        <v>1530</v>
      </c>
      <c r="C524" s="1">
        <v>15</v>
      </c>
      <c r="D524" s="1">
        <v>22950</v>
      </c>
      <c r="E524" s="1">
        <v>1377</v>
      </c>
    </row>
    <row r="525" spans="1:5" x14ac:dyDescent="0.25">
      <c r="A525" s="5" t="s">
        <v>41</v>
      </c>
      <c r="B525">
        <v>1496</v>
      </c>
      <c r="C525" s="1">
        <v>350</v>
      </c>
      <c r="D525" s="1">
        <v>523600</v>
      </c>
      <c r="E525" s="1">
        <v>31416</v>
      </c>
    </row>
    <row r="526" spans="1:5" x14ac:dyDescent="0.25">
      <c r="A526" s="5" t="s">
        <v>41</v>
      </c>
      <c r="B526">
        <v>1498</v>
      </c>
      <c r="C526" s="1">
        <v>7</v>
      </c>
      <c r="D526" s="1">
        <v>10486</v>
      </c>
      <c r="E526" s="1">
        <v>629.16</v>
      </c>
    </row>
    <row r="527" spans="1:5" x14ac:dyDescent="0.25">
      <c r="A527" s="5" t="s">
        <v>41</v>
      </c>
      <c r="B527">
        <v>1221</v>
      </c>
      <c r="C527" s="1">
        <v>300</v>
      </c>
      <c r="D527" s="1">
        <v>366300</v>
      </c>
      <c r="E527" s="1">
        <v>21978</v>
      </c>
    </row>
    <row r="528" spans="1:5" x14ac:dyDescent="0.25">
      <c r="A528" s="5" t="s">
        <v>41</v>
      </c>
      <c r="B528">
        <v>2076</v>
      </c>
      <c r="C528" s="1">
        <v>350</v>
      </c>
      <c r="D528" s="1">
        <v>726600</v>
      </c>
      <c r="E528" s="1">
        <v>43596</v>
      </c>
    </row>
    <row r="529" spans="1:5" x14ac:dyDescent="0.25">
      <c r="A529" s="5" t="s">
        <v>41</v>
      </c>
      <c r="B529">
        <v>1001</v>
      </c>
      <c r="C529" s="1">
        <v>20</v>
      </c>
      <c r="D529" s="1">
        <v>20020</v>
      </c>
      <c r="E529" s="1">
        <v>1201.2</v>
      </c>
    </row>
    <row r="530" spans="1:5" x14ac:dyDescent="0.25">
      <c r="A530" s="5" t="s">
        <v>41</v>
      </c>
      <c r="B530">
        <v>1333</v>
      </c>
      <c r="C530" s="1">
        <v>7</v>
      </c>
      <c r="D530" s="1">
        <v>9331</v>
      </c>
      <c r="E530" s="1">
        <v>559.86</v>
      </c>
    </row>
    <row r="531" spans="1:5" x14ac:dyDescent="0.25">
      <c r="A531" s="5" t="s">
        <v>41</v>
      </c>
      <c r="B531">
        <v>1262</v>
      </c>
      <c r="C531" s="1">
        <v>15</v>
      </c>
      <c r="D531" s="1">
        <v>18930</v>
      </c>
      <c r="E531" s="1">
        <v>1325.1</v>
      </c>
    </row>
    <row r="532" spans="1:5" x14ac:dyDescent="0.25">
      <c r="A532" s="5" t="s">
        <v>41</v>
      </c>
      <c r="B532">
        <v>1135</v>
      </c>
      <c r="C532" s="1">
        <v>7</v>
      </c>
      <c r="D532" s="1">
        <v>7945</v>
      </c>
      <c r="E532" s="1">
        <v>556.15</v>
      </c>
    </row>
    <row r="533" spans="1:5" x14ac:dyDescent="0.25">
      <c r="A533" s="5" t="s">
        <v>41</v>
      </c>
      <c r="B533">
        <v>547</v>
      </c>
      <c r="C533" s="1">
        <v>7</v>
      </c>
      <c r="D533" s="1">
        <v>3829</v>
      </c>
      <c r="E533" s="1">
        <v>268.02999999999997</v>
      </c>
    </row>
    <row r="534" spans="1:5" x14ac:dyDescent="0.25">
      <c r="A534" s="5" t="s">
        <v>41</v>
      </c>
      <c r="B534">
        <v>1582</v>
      </c>
      <c r="C534" s="1">
        <v>7</v>
      </c>
      <c r="D534" s="1">
        <v>11074</v>
      </c>
      <c r="E534" s="1">
        <v>775.18</v>
      </c>
    </row>
    <row r="535" spans="1:5" x14ac:dyDescent="0.25">
      <c r="A535" s="5" t="s">
        <v>41</v>
      </c>
      <c r="B535">
        <v>1659</v>
      </c>
      <c r="C535" s="1">
        <v>300</v>
      </c>
      <c r="D535" s="1">
        <v>497700</v>
      </c>
      <c r="E535" s="1">
        <v>34839</v>
      </c>
    </row>
    <row r="536" spans="1:5" x14ac:dyDescent="0.25">
      <c r="A536" s="5" t="s">
        <v>41</v>
      </c>
      <c r="B536">
        <v>609</v>
      </c>
      <c r="C536" s="1">
        <v>20</v>
      </c>
      <c r="D536" s="1">
        <v>12180</v>
      </c>
      <c r="E536" s="1">
        <v>852.6</v>
      </c>
    </row>
    <row r="537" spans="1:5" x14ac:dyDescent="0.25">
      <c r="A537" s="5" t="s">
        <v>41</v>
      </c>
      <c r="B537">
        <v>2087</v>
      </c>
      <c r="C537" s="1">
        <v>125</v>
      </c>
      <c r="D537" s="1">
        <v>260875</v>
      </c>
      <c r="E537" s="1">
        <v>18261.25</v>
      </c>
    </row>
    <row r="538" spans="1:5" x14ac:dyDescent="0.25">
      <c r="A538" s="5" t="s">
        <v>41</v>
      </c>
      <c r="B538">
        <v>1976</v>
      </c>
      <c r="C538" s="1">
        <v>20</v>
      </c>
      <c r="D538" s="1">
        <v>39520</v>
      </c>
      <c r="E538" s="1">
        <v>2766.4</v>
      </c>
    </row>
    <row r="539" spans="1:5" x14ac:dyDescent="0.25">
      <c r="A539" s="5" t="s">
        <v>41</v>
      </c>
      <c r="B539">
        <v>1421</v>
      </c>
      <c r="C539" s="1">
        <v>20</v>
      </c>
      <c r="D539" s="1">
        <v>28420</v>
      </c>
      <c r="E539" s="1">
        <v>1989.4</v>
      </c>
    </row>
    <row r="540" spans="1:5" x14ac:dyDescent="0.25">
      <c r="A540" s="5" t="s">
        <v>41</v>
      </c>
      <c r="B540">
        <v>1372</v>
      </c>
      <c r="C540" s="1">
        <v>300</v>
      </c>
      <c r="D540" s="1">
        <v>411600</v>
      </c>
      <c r="E540" s="1">
        <v>28812</v>
      </c>
    </row>
    <row r="541" spans="1:5" x14ac:dyDescent="0.25">
      <c r="A541" s="5" t="s">
        <v>41</v>
      </c>
      <c r="B541">
        <v>588</v>
      </c>
      <c r="C541" s="1">
        <v>20</v>
      </c>
      <c r="D541" s="1">
        <v>11760</v>
      </c>
      <c r="E541" s="1">
        <v>823.2</v>
      </c>
    </row>
    <row r="542" spans="1:5" x14ac:dyDescent="0.25">
      <c r="A542" s="5" t="s">
        <v>41</v>
      </c>
      <c r="B542">
        <v>598</v>
      </c>
      <c r="C542" s="1">
        <v>12</v>
      </c>
      <c r="D542" s="1">
        <v>7176</v>
      </c>
      <c r="E542" s="1">
        <v>574.08000000000004</v>
      </c>
    </row>
    <row r="543" spans="1:5" x14ac:dyDescent="0.25">
      <c r="A543" s="5" t="s">
        <v>41</v>
      </c>
      <c r="B543">
        <v>2907</v>
      </c>
      <c r="C543" s="1">
        <v>7</v>
      </c>
      <c r="D543" s="1">
        <v>20349</v>
      </c>
      <c r="E543" s="1">
        <v>1627.92</v>
      </c>
    </row>
    <row r="544" spans="1:5" x14ac:dyDescent="0.25">
      <c r="A544" s="5" t="s">
        <v>41</v>
      </c>
      <c r="B544">
        <v>2338</v>
      </c>
      <c r="C544" s="1">
        <v>7</v>
      </c>
      <c r="D544" s="1">
        <v>16366</v>
      </c>
      <c r="E544" s="1">
        <v>1309.28</v>
      </c>
    </row>
    <row r="545" spans="1:5" x14ac:dyDescent="0.25">
      <c r="A545" s="5" t="s">
        <v>41</v>
      </c>
      <c r="B545">
        <v>386</v>
      </c>
      <c r="C545" s="1">
        <v>300</v>
      </c>
      <c r="D545" s="1">
        <v>115800</v>
      </c>
      <c r="E545" s="1">
        <v>9264</v>
      </c>
    </row>
    <row r="546" spans="1:5" x14ac:dyDescent="0.25">
      <c r="A546" s="5" t="s">
        <v>41</v>
      </c>
      <c r="B546">
        <v>635</v>
      </c>
      <c r="C546" s="1">
        <v>300</v>
      </c>
      <c r="D546" s="1">
        <v>190500</v>
      </c>
      <c r="E546" s="1">
        <v>15240</v>
      </c>
    </row>
    <row r="547" spans="1:5" x14ac:dyDescent="0.25">
      <c r="A547" s="5" t="s">
        <v>41</v>
      </c>
      <c r="B547">
        <v>245</v>
      </c>
      <c r="C547" s="1">
        <v>15</v>
      </c>
      <c r="D547" s="1">
        <v>3675</v>
      </c>
      <c r="E547" s="1">
        <v>330.75</v>
      </c>
    </row>
    <row r="548" spans="1:5" x14ac:dyDescent="0.25">
      <c r="A548" s="5" t="s">
        <v>41</v>
      </c>
      <c r="B548">
        <v>3793.5</v>
      </c>
      <c r="C548" s="1">
        <v>300</v>
      </c>
      <c r="D548" s="1">
        <v>1138050</v>
      </c>
      <c r="E548" s="1">
        <v>102424.5</v>
      </c>
    </row>
    <row r="549" spans="1:5" x14ac:dyDescent="0.25">
      <c r="A549" s="5" t="s">
        <v>41</v>
      </c>
      <c r="B549">
        <v>1307</v>
      </c>
      <c r="C549" s="1">
        <v>350</v>
      </c>
      <c r="D549" s="1">
        <v>457450</v>
      </c>
      <c r="E549" s="1">
        <v>41170.5</v>
      </c>
    </row>
    <row r="550" spans="1:5" x14ac:dyDescent="0.25">
      <c r="A550" s="5" t="s">
        <v>41</v>
      </c>
      <c r="B550">
        <v>567</v>
      </c>
      <c r="C550" s="1">
        <v>125</v>
      </c>
      <c r="D550" s="1">
        <v>70875</v>
      </c>
      <c r="E550" s="1">
        <v>6378.75</v>
      </c>
    </row>
    <row r="551" spans="1:5" x14ac:dyDescent="0.25">
      <c r="A551" s="5" t="s">
        <v>41</v>
      </c>
      <c r="B551">
        <v>2110</v>
      </c>
      <c r="C551" s="1">
        <v>125</v>
      </c>
      <c r="D551" s="1">
        <v>263750</v>
      </c>
      <c r="E551" s="1">
        <v>23737.5</v>
      </c>
    </row>
    <row r="552" spans="1:5" x14ac:dyDescent="0.25">
      <c r="A552" s="5" t="s">
        <v>41</v>
      </c>
      <c r="B552">
        <v>1269</v>
      </c>
      <c r="C552" s="1">
        <v>350</v>
      </c>
      <c r="D552" s="1">
        <v>444150</v>
      </c>
      <c r="E552" s="1">
        <v>39973.5</v>
      </c>
    </row>
    <row r="553" spans="1:5" x14ac:dyDescent="0.25">
      <c r="A553" s="5" t="s">
        <v>41</v>
      </c>
      <c r="B553">
        <v>1967</v>
      </c>
      <c r="C553" s="1">
        <v>12</v>
      </c>
      <c r="D553" s="1">
        <v>23604</v>
      </c>
      <c r="E553" s="1">
        <v>2124.36</v>
      </c>
    </row>
    <row r="554" spans="1:5" x14ac:dyDescent="0.25">
      <c r="A554" s="5" t="s">
        <v>41</v>
      </c>
      <c r="B554">
        <v>2628</v>
      </c>
      <c r="C554" s="1">
        <v>15</v>
      </c>
      <c r="D554" s="1">
        <v>39420</v>
      </c>
      <c r="E554" s="1">
        <v>3547.8</v>
      </c>
    </row>
    <row r="555" spans="1:5" x14ac:dyDescent="0.25">
      <c r="A555" s="5" t="s">
        <v>41</v>
      </c>
      <c r="B555">
        <v>681</v>
      </c>
      <c r="C555" s="1">
        <v>15</v>
      </c>
      <c r="D555" s="1">
        <v>10215</v>
      </c>
      <c r="E555" s="1">
        <v>1021.5</v>
      </c>
    </row>
    <row r="556" spans="1:5" x14ac:dyDescent="0.25">
      <c r="A556" s="5" t="s">
        <v>41</v>
      </c>
      <c r="B556">
        <v>510</v>
      </c>
      <c r="C556" s="1">
        <v>15</v>
      </c>
      <c r="D556" s="1">
        <v>7650</v>
      </c>
      <c r="E556" s="1">
        <v>765</v>
      </c>
    </row>
    <row r="557" spans="1:5" x14ac:dyDescent="0.25">
      <c r="A557" s="5" t="s">
        <v>41</v>
      </c>
      <c r="B557">
        <v>790</v>
      </c>
      <c r="C557" s="1">
        <v>15</v>
      </c>
      <c r="D557" s="1">
        <v>11850</v>
      </c>
      <c r="E557" s="1">
        <v>1185</v>
      </c>
    </row>
    <row r="558" spans="1:5" x14ac:dyDescent="0.25">
      <c r="A558" s="5" t="s">
        <v>41</v>
      </c>
      <c r="B558">
        <v>639</v>
      </c>
      <c r="C558" s="1">
        <v>350</v>
      </c>
      <c r="D558" s="1">
        <v>223650</v>
      </c>
      <c r="E558" s="1">
        <v>22365</v>
      </c>
    </row>
    <row r="559" spans="1:5" x14ac:dyDescent="0.25">
      <c r="A559" s="5" t="s">
        <v>41</v>
      </c>
      <c r="B559">
        <v>1596</v>
      </c>
      <c r="C559" s="1">
        <v>125</v>
      </c>
      <c r="D559" s="1">
        <v>199500</v>
      </c>
      <c r="E559" s="1">
        <v>19950</v>
      </c>
    </row>
    <row r="560" spans="1:5" x14ac:dyDescent="0.25">
      <c r="A560" s="5" t="s">
        <v>41</v>
      </c>
      <c r="B560">
        <v>2294</v>
      </c>
      <c r="C560" s="1">
        <v>300</v>
      </c>
      <c r="D560" s="1">
        <v>688200</v>
      </c>
      <c r="E560" s="1">
        <v>68820</v>
      </c>
    </row>
    <row r="561" spans="1:5" x14ac:dyDescent="0.25">
      <c r="A561" s="5" t="s">
        <v>41</v>
      </c>
      <c r="B561">
        <v>241</v>
      </c>
      <c r="C561" s="1">
        <v>20</v>
      </c>
      <c r="D561" s="1">
        <v>4820</v>
      </c>
      <c r="E561" s="1">
        <v>482</v>
      </c>
    </row>
    <row r="562" spans="1:5" x14ac:dyDescent="0.25">
      <c r="A562" s="5" t="s">
        <v>41</v>
      </c>
      <c r="B562">
        <v>2665</v>
      </c>
      <c r="C562" s="1">
        <v>7</v>
      </c>
      <c r="D562" s="1">
        <v>18655</v>
      </c>
      <c r="E562" s="1">
        <v>1865.5</v>
      </c>
    </row>
    <row r="563" spans="1:5" x14ac:dyDescent="0.25">
      <c r="A563" s="5" t="s">
        <v>41</v>
      </c>
      <c r="B563">
        <v>1916</v>
      </c>
      <c r="C563" s="1">
        <v>125</v>
      </c>
      <c r="D563" s="1">
        <v>239500</v>
      </c>
      <c r="E563" s="1">
        <v>23950</v>
      </c>
    </row>
    <row r="564" spans="1:5" x14ac:dyDescent="0.25">
      <c r="A564" s="5" t="s">
        <v>41</v>
      </c>
      <c r="B564">
        <v>853</v>
      </c>
      <c r="C564" s="1">
        <v>300</v>
      </c>
      <c r="D564" s="1">
        <v>255900</v>
      </c>
      <c r="E564" s="1">
        <v>25590</v>
      </c>
    </row>
    <row r="565" spans="1:5" x14ac:dyDescent="0.25">
      <c r="A565" s="5" t="s">
        <v>41</v>
      </c>
      <c r="B565">
        <v>384</v>
      </c>
      <c r="C565" s="1">
        <v>15</v>
      </c>
      <c r="D565" s="1">
        <v>5760</v>
      </c>
      <c r="E565" s="1">
        <v>633.59999999999991</v>
      </c>
    </row>
    <row r="566" spans="1:5" x14ac:dyDescent="0.25">
      <c r="A566" s="5" t="s">
        <v>41</v>
      </c>
      <c r="B566">
        <v>472</v>
      </c>
      <c r="C566" s="1">
        <v>12</v>
      </c>
      <c r="D566" s="1">
        <v>5664</v>
      </c>
      <c r="E566" s="1">
        <v>623.04</v>
      </c>
    </row>
    <row r="567" spans="1:5" x14ac:dyDescent="0.25">
      <c r="A567" s="5" t="s">
        <v>41</v>
      </c>
      <c r="B567">
        <v>2805</v>
      </c>
      <c r="C567" s="1">
        <v>20</v>
      </c>
      <c r="D567" s="1">
        <v>56100</v>
      </c>
      <c r="E567" s="1">
        <v>6171</v>
      </c>
    </row>
    <row r="568" spans="1:5" x14ac:dyDescent="0.25">
      <c r="A568" s="5" t="s">
        <v>41</v>
      </c>
      <c r="B568">
        <v>655</v>
      </c>
      <c r="C568" s="1">
        <v>15</v>
      </c>
      <c r="D568" s="1">
        <v>9825</v>
      </c>
      <c r="E568" s="1">
        <v>1080.75</v>
      </c>
    </row>
    <row r="569" spans="1:5" x14ac:dyDescent="0.25">
      <c r="A569" s="5" t="s">
        <v>41</v>
      </c>
      <c r="B569">
        <v>344</v>
      </c>
      <c r="C569" s="1">
        <v>350</v>
      </c>
      <c r="D569" s="1">
        <v>120400</v>
      </c>
      <c r="E569" s="1">
        <v>13244</v>
      </c>
    </row>
    <row r="570" spans="1:5" x14ac:dyDescent="0.25">
      <c r="A570" s="5" t="s">
        <v>41</v>
      </c>
      <c r="B570">
        <v>1808</v>
      </c>
      <c r="C570" s="1">
        <v>7</v>
      </c>
      <c r="D570" s="1">
        <v>12656</v>
      </c>
      <c r="E570" s="1">
        <v>1392.16</v>
      </c>
    </row>
    <row r="571" spans="1:5" x14ac:dyDescent="0.25">
      <c r="A571" s="5" t="s">
        <v>41</v>
      </c>
      <c r="B571">
        <v>1395</v>
      </c>
      <c r="C571" s="1">
        <v>350</v>
      </c>
      <c r="D571" s="1">
        <v>488250</v>
      </c>
      <c r="E571" s="1">
        <v>58590</v>
      </c>
    </row>
    <row r="572" spans="1:5" x14ac:dyDescent="0.25">
      <c r="A572" s="5" t="s">
        <v>41</v>
      </c>
      <c r="B572">
        <v>986</v>
      </c>
      <c r="C572" s="1">
        <v>350</v>
      </c>
      <c r="D572" s="1">
        <v>345100</v>
      </c>
      <c r="E572" s="1">
        <v>41412</v>
      </c>
    </row>
    <row r="573" spans="1:5" x14ac:dyDescent="0.25">
      <c r="A573" s="5" t="s">
        <v>41</v>
      </c>
      <c r="B573">
        <v>905</v>
      </c>
      <c r="C573" s="1">
        <v>20</v>
      </c>
      <c r="D573" s="1">
        <v>18100</v>
      </c>
      <c r="E573" s="1">
        <v>2172</v>
      </c>
    </row>
    <row r="574" spans="1:5" x14ac:dyDescent="0.25">
      <c r="A574" s="5" t="s">
        <v>41</v>
      </c>
      <c r="B574">
        <v>3997.5</v>
      </c>
      <c r="C574" s="1">
        <v>15</v>
      </c>
      <c r="D574" s="1">
        <v>59962.5</v>
      </c>
      <c r="E574" s="1">
        <v>7795.125</v>
      </c>
    </row>
    <row r="575" spans="1:5" x14ac:dyDescent="0.25">
      <c r="A575" s="5" t="s">
        <v>41</v>
      </c>
      <c r="B575">
        <v>2632</v>
      </c>
      <c r="C575" s="1">
        <v>350</v>
      </c>
      <c r="D575" s="1">
        <v>921200</v>
      </c>
      <c r="E575" s="1">
        <v>119756</v>
      </c>
    </row>
    <row r="576" spans="1:5" x14ac:dyDescent="0.25">
      <c r="A576" s="5" t="s">
        <v>41</v>
      </c>
      <c r="B576">
        <v>1190</v>
      </c>
      <c r="C576" s="1">
        <v>7</v>
      </c>
      <c r="D576" s="1">
        <v>8330</v>
      </c>
      <c r="E576" s="1">
        <v>1082.9000000000001</v>
      </c>
    </row>
    <row r="577" spans="1:5" x14ac:dyDescent="0.25">
      <c r="A577" s="5" t="s">
        <v>41</v>
      </c>
      <c r="B577">
        <v>604</v>
      </c>
      <c r="C577" s="1">
        <v>12</v>
      </c>
      <c r="D577" s="1">
        <v>7248</v>
      </c>
      <c r="E577" s="1">
        <v>942.24</v>
      </c>
    </row>
    <row r="578" spans="1:5" x14ac:dyDescent="0.25">
      <c r="A578" s="5" t="s">
        <v>41</v>
      </c>
      <c r="B578">
        <v>660</v>
      </c>
      <c r="C578" s="1">
        <v>15</v>
      </c>
      <c r="D578" s="1">
        <v>9900</v>
      </c>
      <c r="E578" s="1">
        <v>1287</v>
      </c>
    </row>
    <row r="579" spans="1:5" x14ac:dyDescent="0.25">
      <c r="A579" s="5" t="s">
        <v>41</v>
      </c>
      <c r="B579">
        <v>410</v>
      </c>
      <c r="C579" s="1">
        <v>12</v>
      </c>
      <c r="D579" s="1">
        <v>4920</v>
      </c>
      <c r="E579" s="1">
        <v>639.6</v>
      </c>
    </row>
    <row r="580" spans="1:5" x14ac:dyDescent="0.25">
      <c r="A580" s="5" t="s">
        <v>41</v>
      </c>
      <c r="B580">
        <v>2605</v>
      </c>
      <c r="C580" s="1">
        <v>300</v>
      </c>
      <c r="D580" s="1">
        <v>781500</v>
      </c>
      <c r="E580" s="1">
        <v>101595</v>
      </c>
    </row>
    <row r="581" spans="1:5" x14ac:dyDescent="0.25">
      <c r="A581" s="5" t="s">
        <v>41</v>
      </c>
      <c r="B581">
        <v>1013</v>
      </c>
      <c r="C581" s="1">
        <v>12</v>
      </c>
      <c r="D581" s="1">
        <v>12156</v>
      </c>
      <c r="E581" s="1">
        <v>1580.28</v>
      </c>
    </row>
    <row r="582" spans="1:5" x14ac:dyDescent="0.25">
      <c r="A582" s="5" t="s">
        <v>41</v>
      </c>
      <c r="B582">
        <v>1575</v>
      </c>
      <c r="C582" s="1">
        <v>125</v>
      </c>
      <c r="D582" s="1">
        <v>196875</v>
      </c>
      <c r="E582" s="1">
        <v>27562.5</v>
      </c>
    </row>
    <row r="583" spans="1:5" x14ac:dyDescent="0.25">
      <c r="A583" s="5" t="s">
        <v>41</v>
      </c>
      <c r="B583">
        <v>606</v>
      </c>
      <c r="C583" s="1">
        <v>20</v>
      </c>
      <c r="D583" s="1">
        <v>12120</v>
      </c>
      <c r="E583" s="1">
        <v>1696.8000000000002</v>
      </c>
    </row>
    <row r="584" spans="1:5" x14ac:dyDescent="0.25">
      <c r="A584" s="5" t="s">
        <v>41</v>
      </c>
      <c r="B584">
        <v>2460</v>
      </c>
      <c r="C584" s="1">
        <v>300</v>
      </c>
      <c r="D584" s="1">
        <v>738000</v>
      </c>
      <c r="E584" s="1">
        <v>103320</v>
      </c>
    </row>
    <row r="585" spans="1:5" x14ac:dyDescent="0.25">
      <c r="A585" s="5" t="s">
        <v>41</v>
      </c>
      <c r="B585">
        <v>269</v>
      </c>
      <c r="C585" s="1">
        <v>300</v>
      </c>
      <c r="D585" s="1">
        <v>80700</v>
      </c>
      <c r="E585" s="1">
        <v>11298</v>
      </c>
    </row>
    <row r="586" spans="1:5" x14ac:dyDescent="0.25">
      <c r="A586" s="5" t="s">
        <v>41</v>
      </c>
      <c r="B586">
        <v>2536</v>
      </c>
      <c r="C586" s="1">
        <v>300</v>
      </c>
      <c r="D586" s="1">
        <v>760800</v>
      </c>
      <c r="E586" s="1">
        <v>106512</v>
      </c>
    </row>
    <row r="587" spans="1:5" x14ac:dyDescent="0.25">
      <c r="A587" s="5" t="s">
        <v>41</v>
      </c>
      <c r="B587">
        <v>500</v>
      </c>
      <c r="C587" s="1">
        <v>12</v>
      </c>
      <c r="D587" s="1">
        <v>6000</v>
      </c>
      <c r="E587" s="1">
        <v>900</v>
      </c>
    </row>
    <row r="588" spans="1:5" x14ac:dyDescent="0.25">
      <c r="A588" s="5" t="s">
        <v>41</v>
      </c>
      <c r="B588">
        <v>2826</v>
      </c>
      <c r="C588" s="1">
        <v>15</v>
      </c>
      <c r="D588" s="1">
        <v>42390</v>
      </c>
      <c r="E588" s="1">
        <v>6358.5</v>
      </c>
    </row>
    <row r="589" spans="1:5" x14ac:dyDescent="0.25">
      <c r="A589" s="5" t="s">
        <v>41</v>
      </c>
      <c r="B589">
        <v>663</v>
      </c>
      <c r="C589" s="1">
        <v>125</v>
      </c>
      <c r="D589" s="1">
        <v>82875</v>
      </c>
      <c r="E589" s="1">
        <v>12431.25</v>
      </c>
    </row>
    <row r="590" spans="1:5" x14ac:dyDescent="0.25">
      <c r="A590" s="5" t="s">
        <v>41</v>
      </c>
      <c r="B590">
        <v>2574</v>
      </c>
      <c r="C590" s="1">
        <v>300</v>
      </c>
      <c r="D590" s="1">
        <v>772200</v>
      </c>
      <c r="E590" s="1">
        <v>115830</v>
      </c>
    </row>
    <row r="591" spans="1:5" x14ac:dyDescent="0.25">
      <c r="A591" s="5" t="s">
        <v>41</v>
      </c>
      <c r="B591">
        <v>2438</v>
      </c>
      <c r="C591" s="1">
        <v>125</v>
      </c>
      <c r="D591" s="1">
        <v>304750</v>
      </c>
      <c r="E591" s="1">
        <v>45712.5</v>
      </c>
    </row>
    <row r="592" spans="1:5" x14ac:dyDescent="0.25">
      <c r="A592" s="5" t="s">
        <v>41</v>
      </c>
      <c r="B592">
        <v>914</v>
      </c>
      <c r="C592" s="1">
        <v>12</v>
      </c>
      <c r="D592" s="1">
        <v>10968</v>
      </c>
      <c r="E592" s="1">
        <v>1645.2</v>
      </c>
    </row>
    <row r="593" spans="1:5" x14ac:dyDescent="0.25">
      <c r="A593" s="5" t="s">
        <v>42</v>
      </c>
      <c r="B593">
        <v>2001</v>
      </c>
      <c r="C593" s="1">
        <v>300</v>
      </c>
      <c r="D593" s="1">
        <v>600300</v>
      </c>
      <c r="E593" s="1">
        <v>0</v>
      </c>
    </row>
    <row r="594" spans="1:5" x14ac:dyDescent="0.25">
      <c r="A594" s="5" t="s">
        <v>42</v>
      </c>
      <c r="B594">
        <v>2838</v>
      </c>
      <c r="C594" s="1">
        <v>12</v>
      </c>
      <c r="D594" s="1">
        <v>34056</v>
      </c>
      <c r="E594" s="1">
        <v>0</v>
      </c>
    </row>
    <row r="595" spans="1:5" x14ac:dyDescent="0.25">
      <c r="A595" s="5" t="s">
        <v>42</v>
      </c>
      <c r="B595">
        <v>2178</v>
      </c>
      <c r="C595" s="1">
        <v>15</v>
      </c>
      <c r="D595" s="1">
        <v>32670</v>
      </c>
      <c r="E595" s="1">
        <v>0</v>
      </c>
    </row>
    <row r="596" spans="1:5" x14ac:dyDescent="0.25">
      <c r="A596" s="5" t="s">
        <v>42</v>
      </c>
      <c r="B596">
        <v>888</v>
      </c>
      <c r="C596" s="1">
        <v>15</v>
      </c>
      <c r="D596" s="1">
        <v>13320</v>
      </c>
      <c r="E596" s="1">
        <v>0</v>
      </c>
    </row>
    <row r="597" spans="1:5" x14ac:dyDescent="0.25">
      <c r="A597" s="5" t="s">
        <v>42</v>
      </c>
      <c r="B597">
        <v>1527</v>
      </c>
      <c r="C597" s="1">
        <v>350</v>
      </c>
      <c r="D597" s="1">
        <v>534450</v>
      </c>
      <c r="E597" s="1">
        <v>0</v>
      </c>
    </row>
    <row r="598" spans="1:5" x14ac:dyDescent="0.25">
      <c r="A598" s="5" t="s">
        <v>42</v>
      </c>
      <c r="B598">
        <v>2151</v>
      </c>
      <c r="C598" s="1">
        <v>300</v>
      </c>
      <c r="D598" s="1">
        <v>645300</v>
      </c>
      <c r="E598" s="1">
        <v>0</v>
      </c>
    </row>
    <row r="599" spans="1:5" x14ac:dyDescent="0.25">
      <c r="A599" s="5" t="s">
        <v>42</v>
      </c>
      <c r="B599">
        <v>1817</v>
      </c>
      <c r="C599" s="1">
        <v>20</v>
      </c>
      <c r="D599" s="1">
        <v>36340</v>
      </c>
      <c r="E599" s="1">
        <v>0</v>
      </c>
    </row>
    <row r="600" spans="1:5" x14ac:dyDescent="0.25">
      <c r="A600" s="5" t="s">
        <v>42</v>
      </c>
      <c r="B600">
        <v>1326</v>
      </c>
      <c r="C600" s="1">
        <v>7</v>
      </c>
      <c r="D600" s="1">
        <v>9282</v>
      </c>
      <c r="E600" s="1">
        <v>92.82</v>
      </c>
    </row>
    <row r="601" spans="1:5" x14ac:dyDescent="0.25">
      <c r="A601" s="5" t="s">
        <v>42</v>
      </c>
      <c r="B601">
        <v>263</v>
      </c>
      <c r="C601" s="1">
        <v>7</v>
      </c>
      <c r="D601" s="1">
        <v>1841</v>
      </c>
      <c r="E601" s="1">
        <v>18.41</v>
      </c>
    </row>
    <row r="602" spans="1:5" x14ac:dyDescent="0.25">
      <c r="A602" s="5" t="s">
        <v>42</v>
      </c>
      <c r="B602">
        <v>943.5</v>
      </c>
      <c r="C602" s="1">
        <v>350</v>
      </c>
      <c r="D602" s="1">
        <v>330225</v>
      </c>
      <c r="E602" s="1">
        <v>3302.25</v>
      </c>
    </row>
    <row r="603" spans="1:5" x14ac:dyDescent="0.25">
      <c r="A603" s="5" t="s">
        <v>42</v>
      </c>
      <c r="B603">
        <v>727</v>
      </c>
      <c r="C603" s="1">
        <v>125</v>
      </c>
      <c r="D603" s="1">
        <v>90875</v>
      </c>
      <c r="E603" s="1">
        <v>908.75</v>
      </c>
    </row>
    <row r="604" spans="1:5" x14ac:dyDescent="0.25">
      <c r="A604" s="5" t="s">
        <v>42</v>
      </c>
      <c r="B604">
        <v>787</v>
      </c>
      <c r="C604" s="1">
        <v>125</v>
      </c>
      <c r="D604" s="1">
        <v>98375</v>
      </c>
      <c r="E604" s="1">
        <v>983.75</v>
      </c>
    </row>
    <row r="605" spans="1:5" x14ac:dyDescent="0.25">
      <c r="A605" s="5" t="s">
        <v>42</v>
      </c>
      <c r="B605">
        <v>986</v>
      </c>
      <c r="C605" s="1">
        <v>300</v>
      </c>
      <c r="D605" s="1">
        <v>295800</v>
      </c>
      <c r="E605" s="1">
        <v>2958</v>
      </c>
    </row>
    <row r="606" spans="1:5" x14ac:dyDescent="0.25">
      <c r="A606" s="5" t="s">
        <v>42</v>
      </c>
      <c r="B606">
        <v>494</v>
      </c>
      <c r="C606" s="1">
        <v>300</v>
      </c>
      <c r="D606" s="1">
        <v>148200</v>
      </c>
      <c r="E606" s="1">
        <v>1482</v>
      </c>
    </row>
    <row r="607" spans="1:5" x14ac:dyDescent="0.25">
      <c r="A607" s="5" t="s">
        <v>42</v>
      </c>
      <c r="B607">
        <v>1397</v>
      </c>
      <c r="C607" s="1">
        <v>350</v>
      </c>
      <c r="D607" s="1">
        <v>488950</v>
      </c>
      <c r="E607" s="1">
        <v>4889.5</v>
      </c>
    </row>
    <row r="608" spans="1:5" x14ac:dyDescent="0.25">
      <c r="A608" s="5" t="s">
        <v>42</v>
      </c>
      <c r="B608">
        <v>1744</v>
      </c>
      <c r="C608" s="1">
        <v>125</v>
      </c>
      <c r="D608" s="1">
        <v>218000</v>
      </c>
      <c r="E608" s="1">
        <v>2180</v>
      </c>
    </row>
    <row r="609" spans="1:5" x14ac:dyDescent="0.25">
      <c r="A609" s="5" t="s">
        <v>42</v>
      </c>
      <c r="B609">
        <v>662</v>
      </c>
      <c r="C609" s="1">
        <v>125</v>
      </c>
      <c r="D609" s="1">
        <v>82750</v>
      </c>
      <c r="E609" s="1">
        <v>1655</v>
      </c>
    </row>
    <row r="610" spans="1:5" x14ac:dyDescent="0.25">
      <c r="A610" s="5" t="s">
        <v>42</v>
      </c>
      <c r="B610">
        <v>214</v>
      </c>
      <c r="C610" s="1">
        <v>300</v>
      </c>
      <c r="D610" s="1">
        <v>64200</v>
      </c>
      <c r="E610" s="1">
        <v>1284</v>
      </c>
    </row>
    <row r="611" spans="1:5" x14ac:dyDescent="0.25">
      <c r="A611" s="5" t="s">
        <v>42</v>
      </c>
      <c r="B611">
        <v>2877</v>
      </c>
      <c r="C611" s="1">
        <v>350</v>
      </c>
      <c r="D611" s="1">
        <v>1006950</v>
      </c>
      <c r="E611" s="1">
        <v>20139</v>
      </c>
    </row>
    <row r="612" spans="1:5" x14ac:dyDescent="0.25">
      <c r="A612" s="5" t="s">
        <v>42</v>
      </c>
      <c r="B612">
        <v>2729</v>
      </c>
      <c r="C612" s="1">
        <v>125</v>
      </c>
      <c r="D612" s="1">
        <v>341125</v>
      </c>
      <c r="E612" s="1">
        <v>6822.5</v>
      </c>
    </row>
    <row r="613" spans="1:5" x14ac:dyDescent="0.25">
      <c r="A613" s="5" t="s">
        <v>42</v>
      </c>
      <c r="B613">
        <v>266</v>
      </c>
      <c r="C613" s="1">
        <v>350</v>
      </c>
      <c r="D613" s="1">
        <v>93100</v>
      </c>
      <c r="E613" s="1">
        <v>1862</v>
      </c>
    </row>
    <row r="614" spans="1:5" x14ac:dyDescent="0.25">
      <c r="A614" s="5" t="s">
        <v>42</v>
      </c>
      <c r="B614">
        <v>1940</v>
      </c>
      <c r="C614" s="1">
        <v>350</v>
      </c>
      <c r="D614" s="1">
        <v>679000</v>
      </c>
      <c r="E614" s="1">
        <v>13580</v>
      </c>
    </row>
    <row r="615" spans="1:5" x14ac:dyDescent="0.25">
      <c r="A615" s="5" t="s">
        <v>42</v>
      </c>
      <c r="B615">
        <v>2844</v>
      </c>
      <c r="C615" s="1">
        <v>300</v>
      </c>
      <c r="D615" s="1">
        <v>853200</v>
      </c>
      <c r="E615" s="1">
        <v>25596</v>
      </c>
    </row>
    <row r="616" spans="1:5" x14ac:dyDescent="0.25">
      <c r="A616" s="5" t="s">
        <v>42</v>
      </c>
      <c r="B616">
        <v>1916</v>
      </c>
      <c r="C616" s="1">
        <v>12</v>
      </c>
      <c r="D616" s="1">
        <v>22992</v>
      </c>
      <c r="E616" s="1">
        <v>689.76</v>
      </c>
    </row>
    <row r="617" spans="1:5" x14ac:dyDescent="0.25">
      <c r="A617" s="5" t="s">
        <v>42</v>
      </c>
      <c r="B617">
        <v>1570</v>
      </c>
      <c r="C617" s="1">
        <v>125</v>
      </c>
      <c r="D617" s="1">
        <v>196250</v>
      </c>
      <c r="E617" s="1">
        <v>5887.5</v>
      </c>
    </row>
    <row r="618" spans="1:5" x14ac:dyDescent="0.25">
      <c r="A618" s="5" t="s">
        <v>42</v>
      </c>
      <c r="B618">
        <v>1874</v>
      </c>
      <c r="C618" s="1">
        <v>300</v>
      </c>
      <c r="D618" s="1">
        <v>562200</v>
      </c>
      <c r="E618" s="1">
        <v>16866</v>
      </c>
    </row>
    <row r="619" spans="1:5" x14ac:dyDescent="0.25">
      <c r="A619" s="5" t="s">
        <v>42</v>
      </c>
      <c r="B619">
        <v>1642</v>
      </c>
      <c r="C619" s="1">
        <v>350</v>
      </c>
      <c r="D619" s="1">
        <v>574700</v>
      </c>
      <c r="E619" s="1">
        <v>17241</v>
      </c>
    </row>
    <row r="620" spans="1:5" x14ac:dyDescent="0.25">
      <c r="A620" s="5" t="s">
        <v>42</v>
      </c>
      <c r="B620">
        <v>1945</v>
      </c>
      <c r="C620" s="1">
        <v>15</v>
      </c>
      <c r="D620" s="1">
        <v>29175</v>
      </c>
      <c r="E620" s="1">
        <v>875.25</v>
      </c>
    </row>
    <row r="621" spans="1:5" x14ac:dyDescent="0.25">
      <c r="A621" s="5" t="s">
        <v>42</v>
      </c>
      <c r="B621">
        <v>2479</v>
      </c>
      <c r="C621" s="1">
        <v>12</v>
      </c>
      <c r="D621" s="1">
        <v>29748</v>
      </c>
      <c r="E621" s="1">
        <v>892.44</v>
      </c>
    </row>
    <row r="622" spans="1:5" x14ac:dyDescent="0.25">
      <c r="A622" s="5" t="s">
        <v>42</v>
      </c>
      <c r="B622">
        <v>866</v>
      </c>
      <c r="C622" s="1">
        <v>12</v>
      </c>
      <c r="D622" s="1">
        <v>10392</v>
      </c>
      <c r="E622" s="1">
        <v>415.68</v>
      </c>
    </row>
    <row r="623" spans="1:5" x14ac:dyDescent="0.25">
      <c r="A623" s="5" t="s">
        <v>42</v>
      </c>
      <c r="B623">
        <v>349</v>
      </c>
      <c r="C623" s="1">
        <v>350</v>
      </c>
      <c r="D623" s="1">
        <v>122150</v>
      </c>
      <c r="E623" s="1">
        <v>4886</v>
      </c>
    </row>
    <row r="624" spans="1:5" x14ac:dyDescent="0.25">
      <c r="A624" s="5" t="s">
        <v>42</v>
      </c>
      <c r="B624">
        <v>2177</v>
      </c>
      <c r="C624" s="1">
        <v>350</v>
      </c>
      <c r="D624" s="1">
        <v>761950</v>
      </c>
      <c r="E624" s="1">
        <v>30478</v>
      </c>
    </row>
    <row r="625" spans="1:5" x14ac:dyDescent="0.25">
      <c r="A625" s="5" t="s">
        <v>42</v>
      </c>
      <c r="B625">
        <v>1514</v>
      </c>
      <c r="C625" s="1">
        <v>15</v>
      </c>
      <c r="D625" s="1">
        <v>22710</v>
      </c>
      <c r="E625" s="1">
        <v>908.4</v>
      </c>
    </row>
    <row r="626" spans="1:5" x14ac:dyDescent="0.25">
      <c r="A626" s="5" t="s">
        <v>42</v>
      </c>
      <c r="B626">
        <v>2689</v>
      </c>
      <c r="C626" s="1">
        <v>7</v>
      </c>
      <c r="D626" s="1">
        <v>18823</v>
      </c>
      <c r="E626" s="1">
        <v>941.15</v>
      </c>
    </row>
    <row r="627" spans="1:5" x14ac:dyDescent="0.25">
      <c r="A627" s="5" t="s">
        <v>42</v>
      </c>
      <c r="B627">
        <v>1389</v>
      </c>
      <c r="C627" s="1">
        <v>20</v>
      </c>
      <c r="D627" s="1">
        <v>27780</v>
      </c>
      <c r="E627" s="1">
        <v>1389</v>
      </c>
    </row>
    <row r="628" spans="1:5" x14ac:dyDescent="0.25">
      <c r="A628" s="5" t="s">
        <v>42</v>
      </c>
      <c r="B628">
        <v>1265</v>
      </c>
      <c r="C628" s="1">
        <v>20</v>
      </c>
      <c r="D628" s="1">
        <v>25300</v>
      </c>
      <c r="E628" s="1">
        <v>1265</v>
      </c>
    </row>
    <row r="629" spans="1:5" x14ac:dyDescent="0.25">
      <c r="A629" s="5" t="s">
        <v>42</v>
      </c>
      <c r="B629">
        <v>2297</v>
      </c>
      <c r="C629" s="1">
        <v>20</v>
      </c>
      <c r="D629" s="1">
        <v>45940</v>
      </c>
      <c r="E629" s="1">
        <v>2297</v>
      </c>
    </row>
    <row r="630" spans="1:5" x14ac:dyDescent="0.25">
      <c r="A630" s="5" t="s">
        <v>42</v>
      </c>
      <c r="B630">
        <v>2663</v>
      </c>
      <c r="C630" s="1">
        <v>20</v>
      </c>
      <c r="D630" s="1">
        <v>53260</v>
      </c>
      <c r="E630" s="1">
        <v>2663</v>
      </c>
    </row>
    <row r="631" spans="1:5" x14ac:dyDescent="0.25">
      <c r="A631" s="5" t="s">
        <v>42</v>
      </c>
      <c r="B631">
        <v>570</v>
      </c>
      <c r="C631" s="1">
        <v>7</v>
      </c>
      <c r="D631" s="1">
        <v>3990</v>
      </c>
      <c r="E631" s="1">
        <v>199.5</v>
      </c>
    </row>
    <row r="632" spans="1:5" x14ac:dyDescent="0.25">
      <c r="A632" s="5" t="s">
        <v>42</v>
      </c>
      <c r="B632">
        <v>2487</v>
      </c>
      <c r="C632" s="1">
        <v>7</v>
      </c>
      <c r="D632" s="1">
        <v>17409</v>
      </c>
      <c r="E632" s="1">
        <v>870.45</v>
      </c>
    </row>
    <row r="633" spans="1:5" x14ac:dyDescent="0.25">
      <c r="A633" s="5" t="s">
        <v>42</v>
      </c>
      <c r="B633">
        <v>2844</v>
      </c>
      <c r="C633" s="1">
        <v>15</v>
      </c>
      <c r="D633" s="1">
        <v>42660</v>
      </c>
      <c r="E633" s="1">
        <v>2559.6</v>
      </c>
    </row>
    <row r="634" spans="1:5" x14ac:dyDescent="0.25">
      <c r="A634" s="5" t="s">
        <v>42</v>
      </c>
      <c r="B634">
        <v>1498</v>
      </c>
      <c r="C634" s="1">
        <v>7</v>
      </c>
      <c r="D634" s="1">
        <v>10486</v>
      </c>
      <c r="E634" s="1">
        <v>629.16</v>
      </c>
    </row>
    <row r="635" spans="1:5" x14ac:dyDescent="0.25">
      <c r="A635" s="5" t="s">
        <v>42</v>
      </c>
      <c r="B635">
        <v>1221</v>
      </c>
      <c r="C635" s="1">
        <v>300</v>
      </c>
      <c r="D635" s="1">
        <v>366300</v>
      </c>
      <c r="E635" s="1">
        <v>21978</v>
      </c>
    </row>
    <row r="636" spans="1:5" x14ac:dyDescent="0.25">
      <c r="A636" s="5" t="s">
        <v>42</v>
      </c>
      <c r="B636">
        <v>1123</v>
      </c>
      <c r="C636" s="1">
        <v>20</v>
      </c>
      <c r="D636" s="1">
        <v>22460</v>
      </c>
      <c r="E636" s="1">
        <v>1347.6</v>
      </c>
    </row>
    <row r="637" spans="1:5" x14ac:dyDescent="0.25">
      <c r="A637" s="5" t="s">
        <v>42</v>
      </c>
      <c r="B637">
        <v>2436</v>
      </c>
      <c r="C637" s="1">
        <v>300</v>
      </c>
      <c r="D637" s="1">
        <v>730800</v>
      </c>
      <c r="E637" s="1">
        <v>43848</v>
      </c>
    </row>
    <row r="638" spans="1:5" x14ac:dyDescent="0.25">
      <c r="A638" s="5" t="s">
        <v>42</v>
      </c>
      <c r="B638">
        <v>1153</v>
      </c>
      <c r="C638" s="1">
        <v>15</v>
      </c>
      <c r="D638" s="1">
        <v>17295</v>
      </c>
      <c r="E638" s="1">
        <v>1037.7</v>
      </c>
    </row>
    <row r="639" spans="1:5" x14ac:dyDescent="0.25">
      <c r="A639" s="5" t="s">
        <v>42</v>
      </c>
      <c r="B639">
        <v>1738.5</v>
      </c>
      <c r="C639" s="1">
        <v>12</v>
      </c>
      <c r="D639" s="1">
        <v>20862</v>
      </c>
      <c r="E639" s="1">
        <v>1460.34</v>
      </c>
    </row>
    <row r="640" spans="1:5" x14ac:dyDescent="0.25">
      <c r="A640" s="5" t="s">
        <v>42</v>
      </c>
      <c r="B640">
        <v>2215</v>
      </c>
      <c r="C640" s="1">
        <v>12</v>
      </c>
      <c r="D640" s="1">
        <v>26580</v>
      </c>
      <c r="E640" s="1">
        <v>1860.6</v>
      </c>
    </row>
    <row r="641" spans="1:5" x14ac:dyDescent="0.25">
      <c r="A641" s="5" t="s">
        <v>42</v>
      </c>
      <c r="B641">
        <v>1582</v>
      </c>
      <c r="C641" s="1">
        <v>7</v>
      </c>
      <c r="D641" s="1">
        <v>11074</v>
      </c>
      <c r="E641" s="1">
        <v>775.18</v>
      </c>
    </row>
    <row r="642" spans="1:5" x14ac:dyDescent="0.25">
      <c r="A642" s="5" t="s">
        <v>42</v>
      </c>
      <c r="B642">
        <v>3244.5</v>
      </c>
      <c r="C642" s="1">
        <v>12</v>
      </c>
      <c r="D642" s="1">
        <v>38934</v>
      </c>
      <c r="E642" s="1">
        <v>2725.38</v>
      </c>
    </row>
    <row r="643" spans="1:5" x14ac:dyDescent="0.25">
      <c r="A643" s="5" t="s">
        <v>42</v>
      </c>
      <c r="B643">
        <v>959</v>
      </c>
      <c r="C643" s="1">
        <v>300</v>
      </c>
      <c r="D643" s="1">
        <v>287700</v>
      </c>
      <c r="E643" s="1">
        <v>20139</v>
      </c>
    </row>
    <row r="644" spans="1:5" x14ac:dyDescent="0.25">
      <c r="A644" s="5" t="s">
        <v>42</v>
      </c>
      <c r="B644">
        <v>2747</v>
      </c>
      <c r="C644" s="1">
        <v>300</v>
      </c>
      <c r="D644" s="1">
        <v>824100</v>
      </c>
      <c r="E644" s="1">
        <v>57687</v>
      </c>
    </row>
    <row r="645" spans="1:5" x14ac:dyDescent="0.25">
      <c r="A645" s="5" t="s">
        <v>42</v>
      </c>
      <c r="B645">
        <v>574.5</v>
      </c>
      <c r="C645" s="1">
        <v>350</v>
      </c>
      <c r="D645" s="1">
        <v>201075</v>
      </c>
      <c r="E645" s="1">
        <v>16086</v>
      </c>
    </row>
    <row r="646" spans="1:5" x14ac:dyDescent="0.25">
      <c r="A646" s="5" t="s">
        <v>42</v>
      </c>
      <c r="B646">
        <v>2338</v>
      </c>
      <c r="C646" s="1">
        <v>7</v>
      </c>
      <c r="D646" s="1">
        <v>16366</v>
      </c>
      <c r="E646" s="1">
        <v>1309.28</v>
      </c>
    </row>
    <row r="647" spans="1:5" x14ac:dyDescent="0.25">
      <c r="A647" s="5" t="s">
        <v>42</v>
      </c>
      <c r="B647">
        <v>381</v>
      </c>
      <c r="C647" s="1">
        <v>350</v>
      </c>
      <c r="D647" s="1">
        <v>133350</v>
      </c>
      <c r="E647" s="1">
        <v>10668</v>
      </c>
    </row>
    <row r="648" spans="1:5" x14ac:dyDescent="0.25">
      <c r="A648" s="5" t="s">
        <v>42</v>
      </c>
      <c r="B648">
        <v>422</v>
      </c>
      <c r="C648" s="1">
        <v>350</v>
      </c>
      <c r="D648" s="1">
        <v>147700</v>
      </c>
      <c r="E648" s="1">
        <v>11816</v>
      </c>
    </row>
    <row r="649" spans="1:5" x14ac:dyDescent="0.25">
      <c r="A649" s="5" t="s">
        <v>42</v>
      </c>
      <c r="B649">
        <v>2134</v>
      </c>
      <c r="C649" s="1">
        <v>300</v>
      </c>
      <c r="D649" s="1">
        <v>640200</v>
      </c>
      <c r="E649" s="1">
        <v>51216</v>
      </c>
    </row>
    <row r="650" spans="1:5" x14ac:dyDescent="0.25">
      <c r="A650" s="5" t="s">
        <v>42</v>
      </c>
      <c r="B650">
        <v>808</v>
      </c>
      <c r="C650" s="1">
        <v>300</v>
      </c>
      <c r="D650" s="1">
        <v>242400</v>
      </c>
      <c r="E650" s="1">
        <v>19392</v>
      </c>
    </row>
    <row r="651" spans="1:5" x14ac:dyDescent="0.25">
      <c r="A651" s="5" t="s">
        <v>42</v>
      </c>
      <c r="B651">
        <v>436.5</v>
      </c>
      <c r="C651" s="1">
        <v>20</v>
      </c>
      <c r="D651" s="1">
        <v>8730</v>
      </c>
      <c r="E651" s="1">
        <v>698.40000000000009</v>
      </c>
    </row>
    <row r="652" spans="1:5" x14ac:dyDescent="0.25">
      <c r="A652" s="5" t="s">
        <v>42</v>
      </c>
      <c r="B652">
        <v>1956</v>
      </c>
      <c r="C652" s="1">
        <v>12</v>
      </c>
      <c r="D652" s="1">
        <v>23472</v>
      </c>
      <c r="E652" s="1">
        <v>2112.48</v>
      </c>
    </row>
    <row r="653" spans="1:5" x14ac:dyDescent="0.25">
      <c r="A653" s="5" t="s">
        <v>42</v>
      </c>
      <c r="B653">
        <v>2659</v>
      </c>
      <c r="C653" s="1">
        <v>300</v>
      </c>
      <c r="D653" s="1">
        <v>797700</v>
      </c>
      <c r="E653" s="1">
        <v>71793</v>
      </c>
    </row>
    <row r="654" spans="1:5" x14ac:dyDescent="0.25">
      <c r="A654" s="5" t="s">
        <v>42</v>
      </c>
      <c r="B654">
        <v>1351.5</v>
      </c>
      <c r="C654" s="1">
        <v>350</v>
      </c>
      <c r="D654" s="1">
        <v>473025</v>
      </c>
      <c r="E654" s="1">
        <v>42572.25</v>
      </c>
    </row>
    <row r="655" spans="1:5" x14ac:dyDescent="0.25">
      <c r="A655" s="5" t="s">
        <v>42</v>
      </c>
      <c r="B655">
        <v>880</v>
      </c>
      <c r="C655" s="1">
        <v>12</v>
      </c>
      <c r="D655" s="1">
        <v>10560</v>
      </c>
      <c r="E655" s="1">
        <v>950.4</v>
      </c>
    </row>
    <row r="656" spans="1:5" x14ac:dyDescent="0.25">
      <c r="A656" s="5" t="s">
        <v>42</v>
      </c>
      <c r="B656">
        <v>1867</v>
      </c>
      <c r="C656" s="1">
        <v>300</v>
      </c>
      <c r="D656" s="1">
        <v>560100</v>
      </c>
      <c r="E656" s="1">
        <v>50409</v>
      </c>
    </row>
    <row r="657" spans="1:5" x14ac:dyDescent="0.25">
      <c r="A657" s="5" t="s">
        <v>42</v>
      </c>
      <c r="B657">
        <v>2234</v>
      </c>
      <c r="C657" s="1">
        <v>12</v>
      </c>
      <c r="D657" s="1">
        <v>26808</v>
      </c>
      <c r="E657" s="1">
        <v>2412.7199999999998</v>
      </c>
    </row>
    <row r="658" spans="1:5" x14ac:dyDescent="0.25">
      <c r="A658" s="5" t="s">
        <v>42</v>
      </c>
      <c r="B658">
        <v>1227</v>
      </c>
      <c r="C658" s="1">
        <v>15</v>
      </c>
      <c r="D658" s="1">
        <v>18405</v>
      </c>
      <c r="E658" s="1">
        <v>1656.45</v>
      </c>
    </row>
    <row r="659" spans="1:5" x14ac:dyDescent="0.25">
      <c r="A659" s="5" t="s">
        <v>42</v>
      </c>
      <c r="B659">
        <v>877</v>
      </c>
      <c r="C659" s="1">
        <v>125</v>
      </c>
      <c r="D659" s="1">
        <v>109625</v>
      </c>
      <c r="E659" s="1">
        <v>9866.25</v>
      </c>
    </row>
    <row r="660" spans="1:5" x14ac:dyDescent="0.25">
      <c r="A660" s="5" t="s">
        <v>42</v>
      </c>
      <c r="B660">
        <v>360</v>
      </c>
      <c r="C660" s="1">
        <v>7</v>
      </c>
      <c r="D660" s="1">
        <v>2520</v>
      </c>
      <c r="E660" s="1">
        <v>226.8</v>
      </c>
    </row>
    <row r="661" spans="1:5" x14ac:dyDescent="0.25">
      <c r="A661" s="5" t="s">
        <v>42</v>
      </c>
      <c r="B661">
        <v>2682</v>
      </c>
      <c r="C661" s="1">
        <v>20</v>
      </c>
      <c r="D661" s="1">
        <v>53640</v>
      </c>
      <c r="E661" s="1">
        <v>4827.6000000000004</v>
      </c>
    </row>
    <row r="662" spans="1:5" x14ac:dyDescent="0.25">
      <c r="A662" s="5" t="s">
        <v>42</v>
      </c>
      <c r="B662">
        <v>521</v>
      </c>
      <c r="C662" s="1">
        <v>7</v>
      </c>
      <c r="D662" s="1">
        <v>3647</v>
      </c>
      <c r="E662" s="1">
        <v>328.23</v>
      </c>
    </row>
    <row r="663" spans="1:5" x14ac:dyDescent="0.25">
      <c r="A663" s="5" t="s">
        <v>42</v>
      </c>
      <c r="B663">
        <v>341</v>
      </c>
      <c r="C663" s="1">
        <v>125</v>
      </c>
      <c r="D663" s="1">
        <v>42625</v>
      </c>
      <c r="E663" s="1">
        <v>4262.5</v>
      </c>
    </row>
    <row r="664" spans="1:5" x14ac:dyDescent="0.25">
      <c r="A664" s="5" t="s">
        <v>42</v>
      </c>
      <c r="B664">
        <v>641</v>
      </c>
      <c r="C664" s="1">
        <v>15</v>
      </c>
      <c r="D664" s="1">
        <v>9615</v>
      </c>
      <c r="E664" s="1">
        <v>961.5</v>
      </c>
    </row>
    <row r="665" spans="1:5" x14ac:dyDescent="0.25">
      <c r="A665" s="5" t="s">
        <v>42</v>
      </c>
      <c r="B665">
        <v>2807</v>
      </c>
      <c r="C665" s="1">
        <v>350</v>
      </c>
      <c r="D665" s="1">
        <v>982450</v>
      </c>
      <c r="E665" s="1">
        <v>98245</v>
      </c>
    </row>
    <row r="666" spans="1:5" x14ac:dyDescent="0.25">
      <c r="A666" s="5" t="s">
        <v>42</v>
      </c>
      <c r="B666">
        <v>432</v>
      </c>
      <c r="C666" s="1">
        <v>300</v>
      </c>
      <c r="D666" s="1">
        <v>129600</v>
      </c>
      <c r="E666" s="1">
        <v>12960</v>
      </c>
    </row>
    <row r="667" spans="1:5" x14ac:dyDescent="0.25">
      <c r="A667" s="5" t="s">
        <v>42</v>
      </c>
      <c r="B667">
        <v>2294</v>
      </c>
      <c r="C667" s="1">
        <v>300</v>
      </c>
      <c r="D667" s="1">
        <v>688200</v>
      </c>
      <c r="E667" s="1">
        <v>68820</v>
      </c>
    </row>
    <row r="668" spans="1:5" x14ac:dyDescent="0.25">
      <c r="A668" s="5" t="s">
        <v>42</v>
      </c>
      <c r="B668">
        <v>2167</v>
      </c>
      <c r="C668" s="1">
        <v>15</v>
      </c>
      <c r="D668" s="1">
        <v>32505</v>
      </c>
      <c r="E668" s="1">
        <v>3250.5</v>
      </c>
    </row>
    <row r="669" spans="1:5" x14ac:dyDescent="0.25">
      <c r="A669" s="5" t="s">
        <v>42</v>
      </c>
      <c r="B669">
        <v>2529</v>
      </c>
      <c r="C669" s="1">
        <v>125</v>
      </c>
      <c r="D669" s="1">
        <v>316125</v>
      </c>
      <c r="E669" s="1">
        <v>31612.5</v>
      </c>
    </row>
    <row r="670" spans="1:5" x14ac:dyDescent="0.25">
      <c r="A670" s="5" t="s">
        <v>42</v>
      </c>
      <c r="B670">
        <v>1870</v>
      </c>
      <c r="C670" s="1">
        <v>350</v>
      </c>
      <c r="D670" s="1">
        <v>654500</v>
      </c>
      <c r="E670" s="1">
        <v>65450</v>
      </c>
    </row>
    <row r="671" spans="1:5" x14ac:dyDescent="0.25">
      <c r="A671" s="5" t="s">
        <v>42</v>
      </c>
      <c r="B671">
        <v>1579</v>
      </c>
      <c r="C671" s="1">
        <v>7</v>
      </c>
      <c r="D671" s="1">
        <v>11053</v>
      </c>
      <c r="E671" s="1">
        <v>1215.83</v>
      </c>
    </row>
    <row r="672" spans="1:5" x14ac:dyDescent="0.25">
      <c r="A672" s="5" t="s">
        <v>42</v>
      </c>
      <c r="B672">
        <v>1005</v>
      </c>
      <c r="C672" s="1">
        <v>12</v>
      </c>
      <c r="D672" s="1">
        <v>12060</v>
      </c>
      <c r="E672" s="1">
        <v>1326.6</v>
      </c>
    </row>
    <row r="673" spans="1:5" x14ac:dyDescent="0.25">
      <c r="A673" s="5" t="s">
        <v>42</v>
      </c>
      <c r="B673">
        <v>1734</v>
      </c>
      <c r="C673" s="1">
        <v>12</v>
      </c>
      <c r="D673" s="1">
        <v>20808</v>
      </c>
      <c r="E673" s="1">
        <v>2288.88</v>
      </c>
    </row>
    <row r="674" spans="1:5" x14ac:dyDescent="0.25">
      <c r="A674" s="5" t="s">
        <v>42</v>
      </c>
      <c r="B674">
        <v>554</v>
      </c>
      <c r="C674" s="1">
        <v>125</v>
      </c>
      <c r="D674" s="1">
        <v>69250</v>
      </c>
      <c r="E674" s="1">
        <v>7617.5</v>
      </c>
    </row>
    <row r="675" spans="1:5" x14ac:dyDescent="0.25">
      <c r="A675" s="5" t="s">
        <v>42</v>
      </c>
      <c r="B675">
        <v>2935</v>
      </c>
      <c r="C675" s="1">
        <v>20</v>
      </c>
      <c r="D675" s="1">
        <v>58700</v>
      </c>
      <c r="E675" s="1">
        <v>6457</v>
      </c>
    </row>
    <row r="676" spans="1:5" x14ac:dyDescent="0.25">
      <c r="A676" s="5" t="s">
        <v>42</v>
      </c>
      <c r="B676">
        <v>2109</v>
      </c>
      <c r="C676" s="1">
        <v>12</v>
      </c>
      <c r="D676" s="1">
        <v>25308</v>
      </c>
      <c r="E676" s="1">
        <v>3036.96</v>
      </c>
    </row>
    <row r="677" spans="1:5" x14ac:dyDescent="0.25">
      <c r="A677" s="5" t="s">
        <v>42</v>
      </c>
      <c r="B677">
        <v>3874.5</v>
      </c>
      <c r="C677" s="1">
        <v>15</v>
      </c>
      <c r="D677" s="1">
        <v>58117.5</v>
      </c>
      <c r="E677" s="1">
        <v>6974.0999999999995</v>
      </c>
    </row>
    <row r="678" spans="1:5" x14ac:dyDescent="0.25">
      <c r="A678" s="5" t="s">
        <v>42</v>
      </c>
      <c r="B678">
        <v>623</v>
      </c>
      <c r="C678" s="1">
        <v>350</v>
      </c>
      <c r="D678" s="1">
        <v>218050</v>
      </c>
      <c r="E678" s="1">
        <v>26166</v>
      </c>
    </row>
    <row r="679" spans="1:5" x14ac:dyDescent="0.25">
      <c r="A679" s="5" t="s">
        <v>42</v>
      </c>
      <c r="B679">
        <v>986</v>
      </c>
      <c r="C679" s="1">
        <v>350</v>
      </c>
      <c r="D679" s="1">
        <v>345100</v>
      </c>
      <c r="E679" s="1">
        <v>41412</v>
      </c>
    </row>
    <row r="680" spans="1:5" x14ac:dyDescent="0.25">
      <c r="A680" s="5" t="s">
        <v>42</v>
      </c>
      <c r="B680">
        <v>2387</v>
      </c>
      <c r="C680" s="1">
        <v>125</v>
      </c>
      <c r="D680" s="1">
        <v>298375</v>
      </c>
      <c r="E680" s="1">
        <v>35805</v>
      </c>
    </row>
    <row r="681" spans="1:5" x14ac:dyDescent="0.25">
      <c r="A681" s="5" t="s">
        <v>42</v>
      </c>
      <c r="B681">
        <v>1233</v>
      </c>
      <c r="C681" s="1">
        <v>20</v>
      </c>
      <c r="D681" s="1">
        <v>24660</v>
      </c>
      <c r="E681" s="1">
        <v>2959.2</v>
      </c>
    </row>
    <row r="682" spans="1:5" x14ac:dyDescent="0.25">
      <c r="A682" s="5" t="s">
        <v>42</v>
      </c>
      <c r="B682">
        <v>1491</v>
      </c>
      <c r="C682" s="1">
        <v>7</v>
      </c>
      <c r="D682" s="1">
        <v>10437</v>
      </c>
      <c r="E682" s="1">
        <v>1252.44</v>
      </c>
    </row>
    <row r="683" spans="1:5" x14ac:dyDescent="0.25">
      <c r="A683" s="5" t="s">
        <v>42</v>
      </c>
      <c r="B683">
        <v>1531</v>
      </c>
      <c r="C683" s="1">
        <v>20</v>
      </c>
      <c r="D683" s="1">
        <v>30620</v>
      </c>
      <c r="E683" s="1">
        <v>3674.4</v>
      </c>
    </row>
    <row r="684" spans="1:5" x14ac:dyDescent="0.25">
      <c r="A684" s="5" t="s">
        <v>42</v>
      </c>
      <c r="B684">
        <v>2567</v>
      </c>
      <c r="C684" s="1">
        <v>15</v>
      </c>
      <c r="D684" s="1">
        <v>38505</v>
      </c>
      <c r="E684" s="1">
        <v>5005.6499999999996</v>
      </c>
    </row>
    <row r="685" spans="1:5" x14ac:dyDescent="0.25">
      <c r="A685" s="5" t="s">
        <v>42</v>
      </c>
      <c r="B685">
        <v>1583</v>
      </c>
      <c r="C685" s="1">
        <v>125</v>
      </c>
      <c r="D685" s="1">
        <v>197875</v>
      </c>
      <c r="E685" s="1">
        <v>25723.75</v>
      </c>
    </row>
    <row r="686" spans="1:5" x14ac:dyDescent="0.25">
      <c r="A686" s="5" t="s">
        <v>42</v>
      </c>
      <c r="B686">
        <v>1565</v>
      </c>
      <c r="C686" s="1">
        <v>15</v>
      </c>
      <c r="D686" s="1">
        <v>23475</v>
      </c>
      <c r="E686" s="1">
        <v>3051.75</v>
      </c>
    </row>
    <row r="687" spans="1:5" x14ac:dyDescent="0.25">
      <c r="A687" s="5" t="s">
        <v>42</v>
      </c>
      <c r="B687">
        <v>280</v>
      </c>
      <c r="C687" s="1">
        <v>7</v>
      </c>
      <c r="D687" s="1">
        <v>1960</v>
      </c>
      <c r="E687" s="1">
        <v>274.39999999999998</v>
      </c>
    </row>
    <row r="688" spans="1:5" x14ac:dyDescent="0.25">
      <c r="A688" s="5" t="s">
        <v>42</v>
      </c>
      <c r="B688">
        <v>2903</v>
      </c>
      <c r="C688" s="1">
        <v>7</v>
      </c>
      <c r="D688" s="1">
        <v>20321</v>
      </c>
      <c r="E688" s="1">
        <v>2844.94</v>
      </c>
    </row>
    <row r="689" spans="1:5" x14ac:dyDescent="0.25">
      <c r="A689" s="5" t="s">
        <v>42</v>
      </c>
      <c r="B689">
        <v>2541</v>
      </c>
      <c r="C689" s="1">
        <v>300</v>
      </c>
      <c r="D689" s="1">
        <v>762300</v>
      </c>
      <c r="E689" s="1">
        <v>106722</v>
      </c>
    </row>
    <row r="690" spans="1:5" x14ac:dyDescent="0.25">
      <c r="A690" s="5" t="s">
        <v>42</v>
      </c>
      <c r="B690">
        <v>269</v>
      </c>
      <c r="C690" s="1">
        <v>300</v>
      </c>
      <c r="D690" s="1">
        <v>80700</v>
      </c>
      <c r="E690" s="1">
        <v>11298</v>
      </c>
    </row>
    <row r="691" spans="1:5" x14ac:dyDescent="0.25">
      <c r="A691" s="5" t="s">
        <v>42</v>
      </c>
      <c r="B691">
        <v>1496</v>
      </c>
      <c r="C691" s="1">
        <v>300</v>
      </c>
      <c r="D691" s="1">
        <v>448800</v>
      </c>
      <c r="E691" s="1">
        <v>62832</v>
      </c>
    </row>
    <row r="692" spans="1:5" x14ac:dyDescent="0.25">
      <c r="A692" s="5" t="s">
        <v>42</v>
      </c>
      <c r="B692">
        <v>1010</v>
      </c>
      <c r="C692" s="1">
        <v>300</v>
      </c>
      <c r="D692" s="1">
        <v>303000</v>
      </c>
      <c r="E692" s="1">
        <v>42420</v>
      </c>
    </row>
    <row r="693" spans="1:5" x14ac:dyDescent="0.25">
      <c r="A693" s="5" t="s">
        <v>42</v>
      </c>
      <c r="B693">
        <v>1281</v>
      </c>
      <c r="C693" s="1">
        <v>350</v>
      </c>
      <c r="D693" s="1">
        <v>448350</v>
      </c>
      <c r="E693" s="1">
        <v>62769</v>
      </c>
    </row>
    <row r="694" spans="1:5" x14ac:dyDescent="0.25">
      <c r="A694" s="5" t="s">
        <v>42</v>
      </c>
      <c r="B694">
        <v>865.5</v>
      </c>
      <c r="C694" s="1">
        <v>20</v>
      </c>
      <c r="D694" s="1">
        <v>17310</v>
      </c>
      <c r="E694" s="1">
        <v>2596.5</v>
      </c>
    </row>
    <row r="695" spans="1:5" x14ac:dyDescent="0.25">
      <c r="A695" s="5" t="s">
        <v>42</v>
      </c>
      <c r="B695">
        <v>492</v>
      </c>
      <c r="C695" s="1">
        <v>15</v>
      </c>
      <c r="D695" s="1">
        <v>7380</v>
      </c>
      <c r="E695" s="1">
        <v>1107</v>
      </c>
    </row>
    <row r="696" spans="1:5" x14ac:dyDescent="0.25">
      <c r="A696" s="5" t="s">
        <v>42</v>
      </c>
      <c r="B696">
        <v>267</v>
      </c>
      <c r="C696" s="1">
        <v>20</v>
      </c>
      <c r="D696" s="1">
        <v>5340</v>
      </c>
      <c r="E696" s="1">
        <v>801</v>
      </c>
    </row>
    <row r="697" spans="1:5" x14ac:dyDescent="0.25">
      <c r="A697" s="5" t="s">
        <v>42</v>
      </c>
      <c r="B697">
        <v>1175</v>
      </c>
      <c r="C697" s="1">
        <v>15</v>
      </c>
      <c r="D697" s="1">
        <v>17625</v>
      </c>
      <c r="E697" s="1">
        <v>2643.75</v>
      </c>
    </row>
    <row r="698" spans="1:5" x14ac:dyDescent="0.25">
      <c r="A698" s="5" t="s">
        <v>42</v>
      </c>
      <c r="B698">
        <v>2954</v>
      </c>
      <c r="C698" s="1">
        <v>125</v>
      </c>
      <c r="D698" s="1">
        <v>369250</v>
      </c>
      <c r="E698" s="1">
        <v>55387.5</v>
      </c>
    </row>
    <row r="699" spans="1:5" x14ac:dyDescent="0.25">
      <c r="A699" s="5" t="s">
        <v>42</v>
      </c>
      <c r="B699">
        <v>552</v>
      </c>
      <c r="C699" s="1">
        <v>125</v>
      </c>
      <c r="D699" s="1">
        <v>69000</v>
      </c>
      <c r="E699" s="1">
        <v>10350</v>
      </c>
    </row>
    <row r="700" spans="1:5" x14ac:dyDescent="0.25">
      <c r="A700" s="5" t="s">
        <v>42</v>
      </c>
      <c r="B700">
        <v>293</v>
      </c>
      <c r="C700" s="1">
        <v>20</v>
      </c>
      <c r="D700" s="1">
        <v>5860</v>
      </c>
      <c r="E700" s="1">
        <v>879</v>
      </c>
    </row>
    <row r="701" spans="1:5" x14ac:dyDescent="0.25">
      <c r="A701" s="5" t="s">
        <v>42</v>
      </c>
      <c r="B701">
        <v>1806</v>
      </c>
      <c r="C701" s="1">
        <v>12</v>
      </c>
      <c r="D701" s="1">
        <v>21672</v>
      </c>
      <c r="E701" s="1">
        <v>3250.8</v>
      </c>
    </row>
    <row r="704" spans="1:5" x14ac:dyDescent="0.25">
      <c r="B704" s="17"/>
      <c r="C704" s="17"/>
      <c r="D704" s="17"/>
      <c r="E704" s="17"/>
    </row>
    <row r="705" spans="2:5" x14ac:dyDescent="0.25">
      <c r="B705" s="17"/>
      <c r="C705" s="17"/>
      <c r="D705" s="17"/>
      <c r="E705" s="17"/>
    </row>
    <row r="706" spans="2:5" x14ac:dyDescent="0.25">
      <c r="B706" s="17"/>
      <c r="C706" s="17"/>
      <c r="D706" s="17"/>
      <c r="E706" s="17"/>
    </row>
    <row r="707" spans="2:5" x14ac:dyDescent="0.25">
      <c r="B707" s="17"/>
      <c r="C707" s="17"/>
      <c r="D707" s="17"/>
      <c r="E707" s="17"/>
    </row>
    <row r="708" spans="2:5" x14ac:dyDescent="0.25">
      <c r="B708" s="17"/>
      <c r="C708" s="17"/>
      <c r="D708" s="17"/>
      <c r="E708" s="17"/>
    </row>
    <row r="709" spans="2:5" x14ac:dyDescent="0.25">
      <c r="B709" s="17"/>
      <c r="C709" s="17"/>
      <c r="D709" s="17"/>
      <c r="E709" s="17"/>
    </row>
  </sheetData>
  <autoFilter ref="A1:E701"/>
  <conditionalFormatting sqref="B1:B70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04:B70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:K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D8" sqref="D8"/>
    </sheetView>
  </sheetViews>
  <sheetFormatPr defaultRowHeight="15" x14ac:dyDescent="0.25"/>
  <cols>
    <col min="1" max="1" width="19.85546875" bestFit="1" customWidth="1"/>
    <col min="2" max="2" width="12.28515625" customWidth="1"/>
    <col min="3" max="3" width="22.85546875" bestFit="1" customWidth="1"/>
    <col min="4" max="4" width="13.28515625" bestFit="1" customWidth="1"/>
    <col min="5" max="5" width="14.7109375" bestFit="1" customWidth="1"/>
    <col min="6" max="6" width="13.28515625" bestFit="1" customWidth="1"/>
    <col min="7" max="8" width="12" customWidth="1"/>
    <col min="9" max="9" width="9.7109375" customWidth="1"/>
  </cols>
  <sheetData>
    <row r="1" spans="1:9" x14ac:dyDescent="0.25">
      <c r="A1" s="25" t="s">
        <v>72</v>
      </c>
      <c r="B1" s="10" t="s">
        <v>4</v>
      </c>
      <c r="C1" s="11" t="s">
        <v>5</v>
      </c>
      <c r="D1" s="11" t="s">
        <v>35</v>
      </c>
      <c r="E1" s="11" t="s">
        <v>1</v>
      </c>
      <c r="F1" s="11" t="s">
        <v>2</v>
      </c>
      <c r="G1" s="11" t="s">
        <v>34</v>
      </c>
      <c r="H1" s="11" t="s">
        <v>3</v>
      </c>
      <c r="I1" s="11" t="s">
        <v>33</v>
      </c>
    </row>
    <row r="2" spans="1:9" x14ac:dyDescent="0.25">
      <c r="A2" s="26" t="s">
        <v>77</v>
      </c>
      <c r="B2">
        <f>COUNT(Sheet1!E2:E701)</f>
        <v>700</v>
      </c>
      <c r="C2">
        <f>COUNT(Sheet1!F2:F701)</f>
        <v>700</v>
      </c>
      <c r="D2">
        <f>COUNT(Sheet1!G2:G701)</f>
        <v>700</v>
      </c>
      <c r="E2">
        <f>COUNT(Sheet1!H2:H701)</f>
        <v>700</v>
      </c>
      <c r="F2">
        <f>COUNT(Sheet1!I2:I701)</f>
        <v>700</v>
      </c>
      <c r="G2">
        <f>COUNT(Sheet1!J2:J701)</f>
        <v>700</v>
      </c>
      <c r="H2">
        <f>COUNT(Sheet1!K2:K701)</f>
        <v>700</v>
      </c>
      <c r="I2">
        <f>COUNT(Sheet1!L2:L701)</f>
        <v>700</v>
      </c>
    </row>
    <row r="3" spans="1:9" x14ac:dyDescent="0.25">
      <c r="A3" s="26" t="s">
        <v>78</v>
      </c>
      <c r="B3">
        <f>KURT(Sheet1!E2:E701)</f>
        <v>-0.31531799666143678</v>
      </c>
      <c r="C3">
        <f>KURT(Sheet1!F2:F701)</f>
        <v>-1.4289626799008768</v>
      </c>
      <c r="D3">
        <f>KURT(Sheet1!G2:G701)</f>
        <v>-1.1767890077376564</v>
      </c>
      <c r="E3">
        <f>KURT(Sheet1!H2:H701)</f>
        <v>2.0543005833645949</v>
      </c>
      <c r="F3">
        <f>KURT(Sheet1!I2:I701)</f>
        <v>7.9057124440392208</v>
      </c>
      <c r="G3">
        <f>KURT(Sheet1!J2:J701)</f>
        <v>2.1886330881675797</v>
      </c>
      <c r="H3">
        <f>KURT(Sheet1!K2:K701)</f>
        <v>1.6084629731339706</v>
      </c>
      <c r="I3">
        <f>KURT(Sheet1!L2:L701)</f>
        <v>8.6786162157039932</v>
      </c>
    </row>
    <row r="4" spans="1:9" x14ac:dyDescent="0.25">
      <c r="A4" s="26" t="s">
        <v>79</v>
      </c>
      <c r="B4">
        <f>MAX(Sheet1!E2:E701)</f>
        <v>4492.5</v>
      </c>
      <c r="C4">
        <f>MAX(Sheet1!F2:F701)</f>
        <v>260</v>
      </c>
      <c r="D4">
        <f>MAX(Sheet1!G2:G701)</f>
        <v>350</v>
      </c>
      <c r="E4">
        <f>MAX(Sheet1!H2:H701)</f>
        <v>1207500</v>
      </c>
      <c r="F4">
        <f>MAX(Sheet1!I2:I701)</f>
        <v>149677.5</v>
      </c>
      <c r="G4">
        <f>MAX(Sheet1!J2:J701)</f>
        <v>1159200</v>
      </c>
      <c r="H4">
        <f>MAX(Sheet1!K2:K701)</f>
        <v>950625</v>
      </c>
      <c r="I4">
        <f>MAX(Sheet1!L2:L701)</f>
        <v>262200</v>
      </c>
    </row>
    <row r="5" spans="1:9" x14ac:dyDescent="0.25">
      <c r="A5" s="26" t="s">
        <v>61</v>
      </c>
      <c r="B5">
        <f>AVERAGE(Sheet1!E2:E701)</f>
        <v>1608.2942857142857</v>
      </c>
      <c r="C5">
        <f>AVERAGE(Sheet1!F2:F701)</f>
        <v>96.477142857142852</v>
      </c>
      <c r="D5">
        <f>AVERAGE(Sheet1!G2:G701)</f>
        <v>118.42857142857143</v>
      </c>
      <c r="E5">
        <f>AVERAGE(Sheet1!H2:H701)</f>
        <v>182759.42642857143</v>
      </c>
      <c r="F5">
        <f>AVERAGE(Sheet1!I2:I701)</f>
        <v>13150.354628571431</v>
      </c>
      <c r="G5">
        <f>AVERAGE(Sheet1!J2:J701)</f>
        <v>169609.07179999989</v>
      </c>
      <c r="H5">
        <f>AVERAGE(Sheet1!K2:K701)</f>
        <v>145475.21142857143</v>
      </c>
      <c r="I5">
        <f>AVERAGE(Sheet1!L2:L701)</f>
        <v>24133.860371428585</v>
      </c>
    </row>
    <row r="6" spans="1:9" x14ac:dyDescent="0.25">
      <c r="A6" s="26" t="s">
        <v>80</v>
      </c>
      <c r="B6">
        <f>MEDIAN(Sheet1!E2:E701)</f>
        <v>1542.5</v>
      </c>
      <c r="C6">
        <f>MEDIAN(Sheet1!F2:F701)</f>
        <v>10</v>
      </c>
      <c r="D6">
        <f>MEDIAN(Sheet1!G2:G701)</f>
        <v>20</v>
      </c>
      <c r="E6">
        <f>MEDIAN(Sheet1!H2:H701)</f>
        <v>37980</v>
      </c>
      <c r="F6">
        <f>MEDIAN(Sheet1!I2:I701)</f>
        <v>2585.25</v>
      </c>
      <c r="G6">
        <f>MEDIAN(Sheet1!J2:J701)</f>
        <v>35540.199999999997</v>
      </c>
      <c r="H6">
        <f>MEDIAN(Sheet1!K2:K701)</f>
        <v>22506.25</v>
      </c>
      <c r="I6">
        <f>MEDIAN(Sheet1!L2:L701)</f>
        <v>9242.1999999999989</v>
      </c>
    </row>
    <row r="7" spans="1:9" x14ac:dyDescent="0.25">
      <c r="A7" s="26" t="s">
        <v>81</v>
      </c>
      <c r="B7">
        <f>MIN(Sheet1!E2:E701)</f>
        <v>200</v>
      </c>
      <c r="C7">
        <f>MIN(Sheet1!F2:F701)</f>
        <v>3</v>
      </c>
      <c r="D7">
        <f>MIN(Sheet1!G2:G701)</f>
        <v>7</v>
      </c>
      <c r="E7">
        <f>MIN(Sheet1!H2:H701)</f>
        <v>1799</v>
      </c>
      <c r="F7">
        <f>MIN(Sheet1!I2:I701)</f>
        <v>0</v>
      </c>
      <c r="G7">
        <f>MIN(Sheet1!J2:J701)</f>
        <v>1655.08</v>
      </c>
      <c r="H7">
        <f>MIN(Sheet1!K2:K701)</f>
        <v>918</v>
      </c>
      <c r="I7">
        <f>MIN(Sheet1!L2:L701)</f>
        <v>-40617.5</v>
      </c>
    </row>
    <row r="8" spans="1:9" x14ac:dyDescent="0.25">
      <c r="A8" s="26" t="s">
        <v>82</v>
      </c>
      <c r="B8">
        <f>MODE(Sheet1!E2:E701)</f>
        <v>727</v>
      </c>
      <c r="C8">
        <f>MODE(Sheet1!F2:F701)</f>
        <v>10</v>
      </c>
      <c r="D8">
        <f>MODE(Sheet1!G2:G701)</f>
        <v>20</v>
      </c>
      <c r="E8">
        <f>MODE(Sheet1!H2:H701)</f>
        <v>37050</v>
      </c>
      <c r="F8">
        <f>MODE(Sheet1!I2:I701)</f>
        <v>0</v>
      </c>
      <c r="G8">
        <f>MODE(Sheet1!J2:J701)</f>
        <v>32670</v>
      </c>
      <c r="H8">
        <f>MODE(Sheet1!K2:K701)</f>
        <v>17430</v>
      </c>
      <c r="I8">
        <f>MODE(Sheet1!L2:L701)</f>
        <v>0</v>
      </c>
    </row>
    <row r="9" spans="1:9" x14ac:dyDescent="0.25">
      <c r="A9" s="26" t="s">
        <v>83</v>
      </c>
      <c r="B9">
        <f>B4-B7</f>
        <v>4292.5</v>
      </c>
      <c r="C9">
        <f t="shared" ref="C9:I9" si="0">C4-C7</f>
        <v>257</v>
      </c>
      <c r="D9">
        <f t="shared" si="0"/>
        <v>343</v>
      </c>
      <c r="E9">
        <f t="shared" si="0"/>
        <v>1205701</v>
      </c>
      <c r="F9">
        <f t="shared" si="0"/>
        <v>149677.5</v>
      </c>
      <c r="G9">
        <f t="shared" si="0"/>
        <v>1157544.92</v>
      </c>
      <c r="H9">
        <f t="shared" si="0"/>
        <v>949707</v>
      </c>
      <c r="I9">
        <f t="shared" si="0"/>
        <v>302817.5</v>
      </c>
    </row>
    <row r="10" spans="1:9" x14ac:dyDescent="0.25">
      <c r="A10" s="26" t="s">
        <v>84</v>
      </c>
      <c r="B10">
        <f>_xlfn.VAR.S(Sheet1!E2:E701)</f>
        <v>752431.09066830168</v>
      </c>
      <c r="C10">
        <f>_xlfn.VAR.S(Sheet1!F2:F701)</f>
        <v>11794.527373799305</v>
      </c>
      <c r="D10">
        <f>_xlfn.VAR.S(Sheet1!G2:G701)</f>
        <v>18707.541385652974</v>
      </c>
      <c r="E10">
        <f>_xlfn.VAR.S(Sheet1!H2:H701)</f>
        <v>64649309257.293221</v>
      </c>
      <c r="F10">
        <f>_xlfn.VAR.S(Sheet1!I2:I701)</f>
        <v>527296097.91643983</v>
      </c>
      <c r="G10">
        <f>_xlfn.VAR.S(Sheet1!J2:J701)</f>
        <v>56039363321.240723</v>
      </c>
      <c r="H10">
        <f>_xlfn.VAR.S(Sheet1!K2:K701)</f>
        <v>41561144584.94236</v>
      </c>
      <c r="I10">
        <f>_xlfn.VAR.S(Sheet1!L2:L701)</f>
        <v>1828471184.0875945</v>
      </c>
    </row>
    <row r="11" spans="1:9" x14ac:dyDescent="0.25">
      <c r="A11" s="26" t="s">
        <v>85</v>
      </c>
      <c r="B11">
        <f>SKEW(Sheet1!E2:E701)</f>
        <v>0.43615356188187954</v>
      </c>
      <c r="C11">
        <f>SKEW(Sheet1!F2:F701)</f>
        <v>0.59258395155971699</v>
      </c>
      <c r="D11">
        <f>SKEW(Sheet1!G2:G701)</f>
        <v>0.77128187077936872</v>
      </c>
      <c r="E11">
        <f>SKEW(Sheet1!H2:H701)</f>
        <v>1.6739216559931125</v>
      </c>
      <c r="F11">
        <f>SKEW(Sheet1!I2:I701)</f>
        <v>2.6850389381052451</v>
      </c>
      <c r="G11">
        <f>SKEW(Sheet1!J2:J701)</f>
        <v>1.6962952166787826</v>
      </c>
      <c r="H11">
        <f>SKEW(Sheet1!K2:K701)</f>
        <v>1.5490475616776296</v>
      </c>
      <c r="I11">
        <f>SKEW(Sheet1!L2:L701)</f>
        <v>2.7121512644367356</v>
      </c>
    </row>
    <row r="12" spans="1:9" x14ac:dyDescent="0.25">
      <c r="A12" s="26" t="s">
        <v>86</v>
      </c>
      <c r="B12">
        <f>_xlfn.STDEV.S(Sheet1!E2:E701)</f>
        <v>867.4278590570525</v>
      </c>
      <c r="C12">
        <f>_xlfn.STDEV.S(Sheet1!F2:F701)</f>
        <v>108.602612186813</v>
      </c>
      <c r="D12">
        <f>_xlfn.STDEV.S(Sheet1!G2:G701)</f>
        <v>136.7755145691398</v>
      </c>
      <c r="E12">
        <f>_xlfn.STDEV.S(Sheet1!H2:H701)</f>
        <v>254262.28437834271</v>
      </c>
      <c r="F12">
        <f>_xlfn.STDEV.S(Sheet1!I2:I701)</f>
        <v>22962.928774797867</v>
      </c>
      <c r="G12">
        <f>_xlfn.STDEV.S(Sheet1!J2:J701)</f>
        <v>236726.34690976146</v>
      </c>
      <c r="H12">
        <f>_xlfn.STDEV.S(Sheet1!K2:K701)</f>
        <v>203865.50611847595</v>
      </c>
      <c r="I12">
        <f>_xlfn.STDEV.S(Sheet1!L2:L701)</f>
        <v>42760.62656331867</v>
      </c>
    </row>
    <row r="13" spans="1:9" x14ac:dyDescent="0.25">
      <c r="A13" s="26" t="s">
        <v>87</v>
      </c>
      <c r="B13">
        <f>_xlfn.STDEV.S(Sheet1!E2:E701)/SQRT(COUNT(Sheet1!E2:E701))</f>
        <v>32.785691362202108</v>
      </c>
      <c r="C13">
        <f>_xlfn.STDEV.S(Sheet1!F2:F701)/SQRT(COUNT(Sheet1!F2:F701))</f>
        <v>4.1047929082614258</v>
      </c>
      <c r="D13">
        <f>_xlfn.STDEV.S(Sheet1!G2:G701)/SQRT(COUNT(Sheet1!G2:G701))</f>
        <v>5.1696285284690804</v>
      </c>
      <c r="E13">
        <f>_xlfn.STDEV.S(Sheet1!H2:H701)/SQRT(COUNT(Sheet1!H2:H701))</f>
        <v>9610.2110321182572</v>
      </c>
      <c r="F13">
        <f>_xlfn.STDEV.S(Sheet1!I2:I701)/SQRT(COUNT(Sheet1!I2:I701))</f>
        <v>867.91712731148959</v>
      </c>
      <c r="G13">
        <f>_xlfn.STDEV.S(Sheet1!J2:J701)/SQRT(COUNT(Sheet1!J2:J701))</f>
        <v>8947.4148957147499</v>
      </c>
      <c r="H13">
        <f>_xlfn.STDEV.S(Sheet1!K2:K701)/SQRT(COUNT(Sheet1!K2:K701))</f>
        <v>7705.3918584829153</v>
      </c>
      <c r="I13">
        <f>_xlfn.STDEV.S(Sheet1!L2:L701)/SQRT(COUNT(Sheet1!L2:L701))</f>
        <v>1616.1997684549106</v>
      </c>
    </row>
    <row r="14" spans="1:9" x14ac:dyDescent="0.25">
      <c r="A14" s="26" t="s">
        <v>88</v>
      </c>
      <c r="B14">
        <f>SUM(Sheet1!E2:E701)</f>
        <v>1125806</v>
      </c>
      <c r="C14">
        <f>SUM(Sheet1!F2:F701)</f>
        <v>67534</v>
      </c>
      <c r="D14">
        <f>SUM(Sheet1!G2:G701)</f>
        <v>82900</v>
      </c>
      <c r="E14">
        <f>SUM(Sheet1!H2:H701)</f>
        <v>127931598.5</v>
      </c>
      <c r="F14">
        <f>SUM(Sheet1!I2:I701)</f>
        <v>9205248.2400000021</v>
      </c>
      <c r="G14">
        <f>SUM(Sheet1!J2:J701)</f>
        <v>118726350.25999992</v>
      </c>
      <c r="H14">
        <f>SUM(Sheet1!K2:K701)</f>
        <v>101832648</v>
      </c>
      <c r="I14">
        <f>SUM(Sheet1!L2:L701)</f>
        <v>16893702.260000009</v>
      </c>
    </row>
  </sheetData>
  <autoFilter ref="A1:I1"/>
  <conditionalFormatting sqref="B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B2:I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A1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9"/>
  <sheetViews>
    <sheetView workbookViewId="0">
      <selection activeCell="B2" sqref="B2"/>
    </sheetView>
  </sheetViews>
  <sheetFormatPr defaultRowHeight="15" x14ac:dyDescent="0.25"/>
  <cols>
    <col min="1" max="1" width="17.5703125" bestFit="1" customWidth="1"/>
    <col min="2" max="2" width="10" bestFit="1" customWidth="1"/>
    <col min="3" max="3" width="20.42578125" style="1" customWidth="1"/>
    <col min="4" max="4" width="11" style="1" customWidth="1"/>
    <col min="5" max="5" width="14.28515625" style="1" customWidth="1"/>
    <col min="6" max="6" width="13.28515625" style="1" bestFit="1" customWidth="1"/>
    <col min="7" max="7" width="14.28515625" style="1" customWidth="1"/>
    <col min="8" max="8" width="13.28515625" customWidth="1"/>
  </cols>
  <sheetData>
    <row r="1" spans="1:8" x14ac:dyDescent="0.25">
      <c r="A1" t="s">
        <v>72</v>
      </c>
      <c r="B1" s="10" t="s">
        <v>4</v>
      </c>
      <c r="C1" s="1" t="s">
        <v>5</v>
      </c>
      <c r="D1" s="1" t="s">
        <v>35</v>
      </c>
      <c r="E1" s="1" t="s">
        <v>1</v>
      </c>
      <c r="F1" s="1" t="s">
        <v>2</v>
      </c>
      <c r="G1" s="1" t="s">
        <v>34</v>
      </c>
      <c r="H1" s="1" t="s">
        <v>3</v>
      </c>
    </row>
    <row r="2" spans="1:8" x14ac:dyDescent="0.25">
      <c r="B2" s="12">
        <v>1618.5</v>
      </c>
      <c r="C2" s="1">
        <v>3</v>
      </c>
      <c r="D2" s="1">
        <v>20</v>
      </c>
      <c r="E2" s="1">
        <v>32370</v>
      </c>
      <c r="F2" s="1">
        <v>0</v>
      </c>
      <c r="G2" s="1">
        <v>32370</v>
      </c>
      <c r="H2" s="1">
        <v>16185</v>
      </c>
    </row>
    <row r="3" spans="1:8" x14ac:dyDescent="0.25">
      <c r="B3" s="12">
        <v>1321</v>
      </c>
      <c r="C3" s="1">
        <v>3</v>
      </c>
      <c r="D3" s="1">
        <v>20</v>
      </c>
      <c r="E3" s="1">
        <v>26420</v>
      </c>
      <c r="F3" s="1">
        <v>0</v>
      </c>
      <c r="G3" s="1">
        <v>26420</v>
      </c>
      <c r="H3" s="1">
        <v>13210</v>
      </c>
    </row>
    <row r="4" spans="1:8" x14ac:dyDescent="0.25">
      <c r="B4" s="12">
        <v>2178</v>
      </c>
      <c r="C4" s="1">
        <v>3</v>
      </c>
      <c r="D4" s="1">
        <v>15</v>
      </c>
      <c r="E4" s="1">
        <v>32670</v>
      </c>
      <c r="F4" s="1">
        <v>0</v>
      </c>
      <c r="G4" s="1">
        <v>32670</v>
      </c>
      <c r="H4" s="1">
        <v>21780</v>
      </c>
    </row>
    <row r="5" spans="1:8" x14ac:dyDescent="0.25">
      <c r="B5" s="12">
        <v>888</v>
      </c>
      <c r="C5" s="1">
        <v>3</v>
      </c>
      <c r="D5" s="1">
        <v>15</v>
      </c>
      <c r="E5" s="1">
        <v>13320</v>
      </c>
      <c r="F5" s="1">
        <v>0</v>
      </c>
      <c r="G5" s="1">
        <v>13320</v>
      </c>
      <c r="H5" s="1">
        <v>8880</v>
      </c>
    </row>
    <row r="6" spans="1:8" x14ac:dyDescent="0.25">
      <c r="B6" s="12">
        <v>2470</v>
      </c>
      <c r="C6" s="1">
        <v>3</v>
      </c>
      <c r="D6" s="1">
        <v>15</v>
      </c>
      <c r="E6" s="1">
        <v>37050</v>
      </c>
      <c r="F6" s="1">
        <v>0</v>
      </c>
      <c r="G6" s="1">
        <v>37050</v>
      </c>
      <c r="H6" s="1">
        <v>24700</v>
      </c>
    </row>
    <row r="7" spans="1:8" x14ac:dyDescent="0.25">
      <c r="B7" s="12">
        <v>1513</v>
      </c>
      <c r="C7" s="1">
        <v>3</v>
      </c>
      <c r="D7" s="1">
        <v>350</v>
      </c>
      <c r="E7" s="1">
        <v>529550</v>
      </c>
      <c r="F7" s="1">
        <v>0</v>
      </c>
      <c r="G7" s="1">
        <v>529550</v>
      </c>
      <c r="H7" s="1">
        <v>393380</v>
      </c>
    </row>
    <row r="8" spans="1:8" x14ac:dyDescent="0.25">
      <c r="B8" s="12">
        <v>921</v>
      </c>
      <c r="C8" s="1">
        <v>5</v>
      </c>
      <c r="D8" s="1">
        <v>15</v>
      </c>
      <c r="E8" s="1">
        <v>13815</v>
      </c>
      <c r="F8" s="1">
        <v>0</v>
      </c>
      <c r="G8" s="1">
        <v>13815</v>
      </c>
      <c r="H8" s="1">
        <v>9210</v>
      </c>
    </row>
    <row r="9" spans="1:8" x14ac:dyDescent="0.25">
      <c r="B9" s="12">
        <v>2518</v>
      </c>
      <c r="C9" s="1">
        <v>5</v>
      </c>
      <c r="D9" s="1">
        <v>12</v>
      </c>
      <c r="E9" s="1">
        <v>30216</v>
      </c>
      <c r="F9" s="1">
        <v>0</v>
      </c>
      <c r="G9" s="1">
        <v>30216</v>
      </c>
      <c r="H9" s="1">
        <v>7554</v>
      </c>
    </row>
    <row r="10" spans="1:8" x14ac:dyDescent="0.25">
      <c r="B10" s="12">
        <v>1899</v>
      </c>
      <c r="C10" s="1">
        <v>5</v>
      </c>
      <c r="D10" s="1">
        <v>20</v>
      </c>
      <c r="E10" s="1">
        <v>37980</v>
      </c>
      <c r="F10" s="1">
        <v>0</v>
      </c>
      <c r="G10" s="1">
        <v>37980</v>
      </c>
      <c r="H10" s="1">
        <v>18990</v>
      </c>
    </row>
    <row r="11" spans="1:8" x14ac:dyDescent="0.25">
      <c r="B11" s="12">
        <v>1545</v>
      </c>
      <c r="C11" s="1">
        <v>5</v>
      </c>
      <c r="D11" s="1">
        <v>12</v>
      </c>
      <c r="E11" s="1">
        <v>18540</v>
      </c>
      <c r="F11" s="1">
        <v>0</v>
      </c>
      <c r="G11" s="1">
        <v>18540</v>
      </c>
      <c r="H11" s="1">
        <v>4635</v>
      </c>
    </row>
    <row r="12" spans="1:8" x14ac:dyDescent="0.25">
      <c r="B12" s="12">
        <v>2470</v>
      </c>
      <c r="C12" s="1">
        <v>5</v>
      </c>
      <c r="D12" s="1">
        <v>15</v>
      </c>
      <c r="E12" s="1">
        <v>37050</v>
      </c>
      <c r="F12" s="1">
        <v>0</v>
      </c>
      <c r="G12" s="1">
        <v>37050</v>
      </c>
      <c r="H12" s="1">
        <v>24700</v>
      </c>
    </row>
    <row r="13" spans="1:8" x14ac:dyDescent="0.25">
      <c r="B13" s="12">
        <v>2665.5</v>
      </c>
      <c r="C13" s="1">
        <v>5</v>
      </c>
      <c r="D13" s="1">
        <v>125</v>
      </c>
      <c r="E13" s="1">
        <v>333187.5</v>
      </c>
      <c r="F13" s="1">
        <v>0</v>
      </c>
      <c r="G13" s="1">
        <v>333187.5</v>
      </c>
      <c r="H13" s="1">
        <v>319860</v>
      </c>
    </row>
    <row r="14" spans="1:8" x14ac:dyDescent="0.25">
      <c r="B14" s="12">
        <v>958</v>
      </c>
      <c r="C14" s="1">
        <v>5</v>
      </c>
      <c r="D14" s="1">
        <v>300</v>
      </c>
      <c r="E14" s="1">
        <v>287400</v>
      </c>
      <c r="F14" s="1">
        <v>0</v>
      </c>
      <c r="G14" s="1">
        <v>287400</v>
      </c>
      <c r="H14" s="1">
        <v>239500</v>
      </c>
    </row>
    <row r="15" spans="1:8" x14ac:dyDescent="0.25">
      <c r="B15" s="12">
        <v>2146</v>
      </c>
      <c r="C15" s="1">
        <v>5</v>
      </c>
      <c r="D15" s="1">
        <v>7</v>
      </c>
      <c r="E15" s="1">
        <v>15022</v>
      </c>
      <c r="F15" s="1">
        <v>0</v>
      </c>
      <c r="G15" s="1">
        <v>15022</v>
      </c>
      <c r="H15" s="1">
        <v>10730</v>
      </c>
    </row>
    <row r="16" spans="1:8" x14ac:dyDescent="0.25">
      <c r="B16" s="12">
        <v>345</v>
      </c>
      <c r="C16" s="1">
        <v>5</v>
      </c>
      <c r="D16" s="1">
        <v>125</v>
      </c>
      <c r="E16" s="1">
        <v>43125</v>
      </c>
      <c r="F16" s="1">
        <v>0</v>
      </c>
      <c r="G16" s="1">
        <v>43125</v>
      </c>
      <c r="H16" s="1">
        <v>41400</v>
      </c>
    </row>
    <row r="17" spans="2:8" x14ac:dyDescent="0.25">
      <c r="B17" s="12">
        <v>615</v>
      </c>
      <c r="C17" s="1">
        <v>5</v>
      </c>
      <c r="D17" s="1">
        <v>15</v>
      </c>
      <c r="E17" s="1">
        <v>9225</v>
      </c>
      <c r="F17" s="1">
        <v>0</v>
      </c>
      <c r="G17" s="1">
        <v>9225</v>
      </c>
      <c r="H17" s="1">
        <v>6150</v>
      </c>
    </row>
    <row r="18" spans="2:8" x14ac:dyDescent="0.25">
      <c r="B18" s="12">
        <v>292</v>
      </c>
      <c r="C18" s="1">
        <v>10</v>
      </c>
      <c r="D18" s="1">
        <v>20</v>
      </c>
      <c r="E18" s="1">
        <v>5840</v>
      </c>
      <c r="F18" s="1">
        <v>0</v>
      </c>
      <c r="G18" s="1">
        <v>5840</v>
      </c>
      <c r="H18" s="1">
        <v>2920</v>
      </c>
    </row>
    <row r="19" spans="2:8" x14ac:dyDescent="0.25">
      <c r="B19" s="12">
        <v>974</v>
      </c>
      <c r="C19" s="1">
        <v>10</v>
      </c>
      <c r="D19" s="1">
        <v>15</v>
      </c>
      <c r="E19" s="1">
        <v>14610</v>
      </c>
      <c r="F19" s="1">
        <v>0</v>
      </c>
      <c r="G19" s="1">
        <v>14610</v>
      </c>
      <c r="H19" s="1">
        <v>9740</v>
      </c>
    </row>
    <row r="20" spans="2:8" x14ac:dyDescent="0.25">
      <c r="B20" s="12">
        <v>2518</v>
      </c>
      <c r="C20" s="1">
        <v>10</v>
      </c>
      <c r="D20" s="1">
        <v>12</v>
      </c>
      <c r="E20" s="1">
        <v>30216</v>
      </c>
      <c r="F20" s="1">
        <v>0</v>
      </c>
      <c r="G20" s="1">
        <v>30216</v>
      </c>
      <c r="H20" s="1">
        <v>7554</v>
      </c>
    </row>
    <row r="21" spans="2:8" x14ac:dyDescent="0.25">
      <c r="B21" s="12">
        <v>1006</v>
      </c>
      <c r="C21" s="1">
        <v>10</v>
      </c>
      <c r="D21" s="1">
        <v>350</v>
      </c>
      <c r="E21" s="1">
        <v>352100</v>
      </c>
      <c r="F21" s="1">
        <v>0</v>
      </c>
      <c r="G21" s="1">
        <v>352100</v>
      </c>
      <c r="H21" s="1">
        <v>261560</v>
      </c>
    </row>
    <row r="22" spans="2:8" x14ac:dyDescent="0.25">
      <c r="B22" s="12">
        <v>367</v>
      </c>
      <c r="C22" s="1">
        <v>10</v>
      </c>
      <c r="D22" s="1">
        <v>12</v>
      </c>
      <c r="E22" s="1">
        <v>4404</v>
      </c>
      <c r="F22" s="1">
        <v>0</v>
      </c>
      <c r="G22" s="1">
        <v>4404</v>
      </c>
      <c r="H22" s="1">
        <v>1101</v>
      </c>
    </row>
    <row r="23" spans="2:8" x14ac:dyDescent="0.25">
      <c r="B23" s="12">
        <v>883</v>
      </c>
      <c r="C23" s="1">
        <v>10</v>
      </c>
      <c r="D23" s="1">
        <v>7</v>
      </c>
      <c r="E23" s="1">
        <v>6181</v>
      </c>
      <c r="F23" s="1">
        <v>0</v>
      </c>
      <c r="G23" s="1">
        <v>6181</v>
      </c>
      <c r="H23" s="1">
        <v>4415</v>
      </c>
    </row>
    <row r="24" spans="2:8" x14ac:dyDescent="0.25">
      <c r="B24" s="12">
        <v>549</v>
      </c>
      <c r="C24" s="1">
        <v>10</v>
      </c>
      <c r="D24" s="1">
        <v>15</v>
      </c>
      <c r="E24" s="1">
        <v>8235</v>
      </c>
      <c r="F24" s="1">
        <v>0</v>
      </c>
      <c r="G24" s="1">
        <v>8235</v>
      </c>
      <c r="H24" s="1">
        <v>5490</v>
      </c>
    </row>
    <row r="25" spans="2:8" x14ac:dyDescent="0.25">
      <c r="B25" s="12">
        <v>788</v>
      </c>
      <c r="C25" s="1">
        <v>10</v>
      </c>
      <c r="D25" s="1">
        <v>300</v>
      </c>
      <c r="E25" s="1">
        <v>236400</v>
      </c>
      <c r="F25" s="1">
        <v>0</v>
      </c>
      <c r="G25" s="1">
        <v>236400</v>
      </c>
      <c r="H25" s="1">
        <v>197000</v>
      </c>
    </row>
    <row r="26" spans="2:8" x14ac:dyDescent="0.25">
      <c r="B26" s="12">
        <v>2472</v>
      </c>
      <c r="C26" s="1">
        <v>10</v>
      </c>
      <c r="D26" s="1">
        <v>15</v>
      </c>
      <c r="E26" s="1">
        <v>37080</v>
      </c>
      <c r="F26" s="1">
        <v>0</v>
      </c>
      <c r="G26" s="1">
        <v>37080</v>
      </c>
      <c r="H26" s="1">
        <v>24720</v>
      </c>
    </row>
    <row r="27" spans="2:8" x14ac:dyDescent="0.25">
      <c r="B27" s="12">
        <v>1143</v>
      </c>
      <c r="C27" s="1">
        <v>10</v>
      </c>
      <c r="D27" s="1">
        <v>7</v>
      </c>
      <c r="E27" s="1">
        <v>8001</v>
      </c>
      <c r="F27" s="1">
        <v>0</v>
      </c>
      <c r="G27" s="1">
        <v>8001</v>
      </c>
      <c r="H27" s="1">
        <v>5715</v>
      </c>
    </row>
    <row r="28" spans="2:8" x14ac:dyDescent="0.25">
      <c r="B28" s="12">
        <v>1725</v>
      </c>
      <c r="C28" s="1">
        <v>10</v>
      </c>
      <c r="D28" s="1">
        <v>350</v>
      </c>
      <c r="E28" s="1">
        <v>603750</v>
      </c>
      <c r="F28" s="1">
        <v>0</v>
      </c>
      <c r="G28" s="1">
        <v>603750</v>
      </c>
      <c r="H28" s="1">
        <v>448500</v>
      </c>
    </row>
    <row r="29" spans="2:8" x14ac:dyDescent="0.25">
      <c r="B29" s="12">
        <v>912</v>
      </c>
      <c r="C29" s="1">
        <v>10</v>
      </c>
      <c r="D29" s="1">
        <v>12</v>
      </c>
      <c r="E29" s="1">
        <v>10944</v>
      </c>
      <c r="F29" s="1">
        <v>0</v>
      </c>
      <c r="G29" s="1">
        <v>10944</v>
      </c>
      <c r="H29" s="1">
        <v>2736</v>
      </c>
    </row>
    <row r="30" spans="2:8" x14ac:dyDescent="0.25">
      <c r="B30" s="12">
        <v>2152</v>
      </c>
      <c r="C30" s="1">
        <v>10</v>
      </c>
      <c r="D30" s="1">
        <v>15</v>
      </c>
      <c r="E30" s="1">
        <v>32280</v>
      </c>
      <c r="F30" s="1">
        <v>0</v>
      </c>
      <c r="G30" s="1">
        <v>32280</v>
      </c>
      <c r="H30" s="1">
        <v>21520</v>
      </c>
    </row>
    <row r="31" spans="2:8" x14ac:dyDescent="0.25">
      <c r="B31" s="12">
        <v>1817</v>
      </c>
      <c r="C31" s="1">
        <v>10</v>
      </c>
      <c r="D31" s="1">
        <v>20</v>
      </c>
      <c r="E31" s="1">
        <v>36340</v>
      </c>
      <c r="F31" s="1">
        <v>0</v>
      </c>
      <c r="G31" s="1">
        <v>36340</v>
      </c>
      <c r="H31" s="1">
        <v>18170</v>
      </c>
    </row>
    <row r="32" spans="2:8" x14ac:dyDescent="0.25">
      <c r="B32" s="12">
        <v>1513</v>
      </c>
      <c r="C32" s="1">
        <v>10</v>
      </c>
      <c r="D32" s="1">
        <v>350</v>
      </c>
      <c r="E32" s="1">
        <v>529550</v>
      </c>
      <c r="F32" s="1">
        <v>0</v>
      </c>
      <c r="G32" s="1">
        <v>529550</v>
      </c>
      <c r="H32" s="1">
        <v>393380</v>
      </c>
    </row>
    <row r="33" spans="2:8" x14ac:dyDescent="0.25">
      <c r="B33" s="12">
        <v>1493</v>
      </c>
      <c r="C33" s="1">
        <v>120</v>
      </c>
      <c r="D33" s="1">
        <v>7</v>
      </c>
      <c r="E33" s="1">
        <v>10451</v>
      </c>
      <c r="F33" s="1">
        <v>0</v>
      </c>
      <c r="G33" s="1">
        <v>10451</v>
      </c>
      <c r="H33" s="1">
        <v>7465</v>
      </c>
    </row>
    <row r="34" spans="2:8" x14ac:dyDescent="0.25">
      <c r="B34" s="12">
        <v>1804</v>
      </c>
      <c r="C34" s="1">
        <v>120</v>
      </c>
      <c r="D34" s="1">
        <v>125</v>
      </c>
      <c r="E34" s="1">
        <v>225500</v>
      </c>
      <c r="F34" s="1">
        <v>0</v>
      </c>
      <c r="G34" s="1">
        <v>225500</v>
      </c>
      <c r="H34" s="1">
        <v>216480</v>
      </c>
    </row>
    <row r="35" spans="2:8" x14ac:dyDescent="0.25">
      <c r="B35" s="12">
        <v>2161</v>
      </c>
      <c r="C35" s="1">
        <v>120</v>
      </c>
      <c r="D35" s="1">
        <v>12</v>
      </c>
      <c r="E35" s="1">
        <v>25932</v>
      </c>
      <c r="F35" s="1">
        <v>0</v>
      </c>
      <c r="G35" s="1">
        <v>25932</v>
      </c>
      <c r="H35" s="1">
        <v>6483</v>
      </c>
    </row>
    <row r="36" spans="2:8" x14ac:dyDescent="0.25">
      <c r="B36" s="12">
        <v>1006</v>
      </c>
      <c r="C36" s="1">
        <v>120</v>
      </c>
      <c r="D36" s="1">
        <v>350</v>
      </c>
      <c r="E36" s="1">
        <v>352100</v>
      </c>
      <c r="F36" s="1">
        <v>0</v>
      </c>
      <c r="G36" s="1">
        <v>352100</v>
      </c>
      <c r="H36" s="1">
        <v>261560</v>
      </c>
    </row>
    <row r="37" spans="2:8" x14ac:dyDescent="0.25">
      <c r="B37" s="12">
        <v>1545</v>
      </c>
      <c r="C37" s="1">
        <v>120</v>
      </c>
      <c r="D37" s="1">
        <v>12</v>
      </c>
      <c r="E37" s="1">
        <v>18540</v>
      </c>
      <c r="F37" s="1">
        <v>0</v>
      </c>
      <c r="G37" s="1">
        <v>18540</v>
      </c>
      <c r="H37" s="1">
        <v>4635</v>
      </c>
    </row>
    <row r="38" spans="2:8" x14ac:dyDescent="0.25">
      <c r="B38" s="12">
        <v>2821</v>
      </c>
      <c r="C38" s="1">
        <v>120</v>
      </c>
      <c r="D38" s="1">
        <v>125</v>
      </c>
      <c r="E38" s="1">
        <v>352625</v>
      </c>
      <c r="F38" s="1">
        <v>0</v>
      </c>
      <c r="G38" s="1">
        <v>352625</v>
      </c>
      <c r="H38" s="1">
        <v>338520</v>
      </c>
    </row>
    <row r="39" spans="2:8" x14ac:dyDescent="0.25">
      <c r="B39" s="12">
        <v>345</v>
      </c>
      <c r="C39" s="1">
        <v>120</v>
      </c>
      <c r="D39" s="1">
        <v>125</v>
      </c>
      <c r="E39" s="1">
        <v>43125</v>
      </c>
      <c r="F39" s="1">
        <v>0</v>
      </c>
      <c r="G39" s="1">
        <v>43125</v>
      </c>
      <c r="H39" s="1">
        <v>41400</v>
      </c>
    </row>
    <row r="40" spans="2:8" x14ac:dyDescent="0.25">
      <c r="B40" s="12">
        <v>2001</v>
      </c>
      <c r="C40" s="1">
        <v>250</v>
      </c>
      <c r="D40" s="1">
        <v>300</v>
      </c>
      <c r="E40" s="1">
        <v>600300</v>
      </c>
      <c r="F40" s="1">
        <v>0</v>
      </c>
      <c r="G40" s="1">
        <v>600300</v>
      </c>
      <c r="H40" s="1">
        <v>500250</v>
      </c>
    </row>
    <row r="41" spans="2:8" x14ac:dyDescent="0.25">
      <c r="B41" s="12">
        <v>2838</v>
      </c>
      <c r="C41" s="1">
        <v>250</v>
      </c>
      <c r="D41" s="1">
        <v>12</v>
      </c>
      <c r="E41" s="1">
        <v>34056</v>
      </c>
      <c r="F41" s="1">
        <v>0</v>
      </c>
      <c r="G41" s="1">
        <v>34056</v>
      </c>
      <c r="H41" s="1">
        <v>8514</v>
      </c>
    </row>
    <row r="42" spans="2:8" x14ac:dyDescent="0.25">
      <c r="B42" s="12">
        <v>2178</v>
      </c>
      <c r="C42" s="1">
        <v>250</v>
      </c>
      <c r="D42" s="1">
        <v>15</v>
      </c>
      <c r="E42" s="1">
        <v>32670</v>
      </c>
      <c r="F42" s="1">
        <v>0</v>
      </c>
      <c r="G42" s="1">
        <v>32670</v>
      </c>
      <c r="H42" s="1">
        <v>21780</v>
      </c>
    </row>
    <row r="43" spans="2:8" x14ac:dyDescent="0.25">
      <c r="B43" s="12">
        <v>888</v>
      </c>
      <c r="C43" s="1">
        <v>250</v>
      </c>
      <c r="D43" s="1">
        <v>15</v>
      </c>
      <c r="E43" s="1">
        <v>13320</v>
      </c>
      <c r="F43" s="1">
        <v>0</v>
      </c>
      <c r="G43" s="1">
        <v>13320</v>
      </c>
      <c r="H43" s="1">
        <v>8880</v>
      </c>
    </row>
    <row r="44" spans="2:8" x14ac:dyDescent="0.25">
      <c r="B44" s="12">
        <v>1527</v>
      </c>
      <c r="C44" s="1">
        <v>250</v>
      </c>
      <c r="D44" s="1">
        <v>350</v>
      </c>
      <c r="E44" s="1">
        <v>534450</v>
      </c>
      <c r="F44" s="1">
        <v>0</v>
      </c>
      <c r="G44" s="1">
        <v>534450</v>
      </c>
      <c r="H44" s="1">
        <v>397020</v>
      </c>
    </row>
    <row r="45" spans="2:8" x14ac:dyDescent="0.25">
      <c r="B45" s="12">
        <v>2151</v>
      </c>
      <c r="C45" s="1">
        <v>250</v>
      </c>
      <c r="D45" s="1">
        <v>300</v>
      </c>
      <c r="E45" s="1">
        <v>645300</v>
      </c>
      <c r="F45" s="1">
        <v>0</v>
      </c>
      <c r="G45" s="1">
        <v>645300</v>
      </c>
      <c r="H45" s="1">
        <v>537750</v>
      </c>
    </row>
    <row r="46" spans="2:8" x14ac:dyDescent="0.25">
      <c r="B46" s="12">
        <v>1817</v>
      </c>
      <c r="C46" s="1">
        <v>250</v>
      </c>
      <c r="D46" s="1">
        <v>20</v>
      </c>
      <c r="E46" s="1">
        <v>36340</v>
      </c>
      <c r="F46" s="1">
        <v>0</v>
      </c>
      <c r="G46" s="1">
        <v>36340</v>
      </c>
      <c r="H46" s="1">
        <v>18170</v>
      </c>
    </row>
    <row r="47" spans="2:8" x14ac:dyDescent="0.25">
      <c r="B47" s="12">
        <v>2750</v>
      </c>
      <c r="C47" s="1">
        <v>260</v>
      </c>
      <c r="D47" s="1">
        <v>350</v>
      </c>
      <c r="E47" s="1">
        <v>962500</v>
      </c>
      <c r="F47" s="1">
        <v>0</v>
      </c>
      <c r="G47" s="1">
        <v>962500</v>
      </c>
      <c r="H47" s="1">
        <v>715000</v>
      </c>
    </row>
    <row r="48" spans="2:8" x14ac:dyDescent="0.25">
      <c r="B48" s="12">
        <v>1953</v>
      </c>
      <c r="C48" s="1">
        <v>260</v>
      </c>
      <c r="D48" s="1">
        <v>12</v>
      </c>
      <c r="E48" s="1">
        <v>23436</v>
      </c>
      <c r="F48" s="1">
        <v>0</v>
      </c>
      <c r="G48" s="1">
        <v>23436</v>
      </c>
      <c r="H48" s="1">
        <v>5859</v>
      </c>
    </row>
    <row r="49" spans="2:8" x14ac:dyDescent="0.25">
      <c r="B49" s="12">
        <v>4219.5</v>
      </c>
      <c r="C49" s="1">
        <v>260</v>
      </c>
      <c r="D49" s="1">
        <v>125</v>
      </c>
      <c r="E49" s="1">
        <v>527437.5</v>
      </c>
      <c r="F49" s="1">
        <v>0</v>
      </c>
      <c r="G49" s="1">
        <v>527437.5</v>
      </c>
      <c r="H49" s="1">
        <v>506340</v>
      </c>
    </row>
    <row r="50" spans="2:8" x14ac:dyDescent="0.25">
      <c r="B50" s="12">
        <v>1899</v>
      </c>
      <c r="C50" s="1">
        <v>260</v>
      </c>
      <c r="D50" s="1">
        <v>20</v>
      </c>
      <c r="E50" s="1">
        <v>37980</v>
      </c>
      <c r="F50" s="1">
        <v>0</v>
      </c>
      <c r="G50" s="1">
        <v>37980</v>
      </c>
      <c r="H50" s="1">
        <v>18990</v>
      </c>
    </row>
    <row r="51" spans="2:8" x14ac:dyDescent="0.25">
      <c r="B51" s="12">
        <v>1686</v>
      </c>
      <c r="C51" s="1">
        <v>260</v>
      </c>
      <c r="D51" s="1">
        <v>7</v>
      </c>
      <c r="E51" s="1">
        <v>11802</v>
      </c>
      <c r="F51" s="1">
        <v>0</v>
      </c>
      <c r="G51" s="1">
        <v>11802</v>
      </c>
      <c r="H51" s="1">
        <v>8430</v>
      </c>
    </row>
    <row r="52" spans="2:8" x14ac:dyDescent="0.25">
      <c r="B52" s="12">
        <v>2141</v>
      </c>
      <c r="C52" s="1">
        <v>260</v>
      </c>
      <c r="D52" s="1">
        <v>12</v>
      </c>
      <c r="E52" s="1">
        <v>25692</v>
      </c>
      <c r="F52" s="1">
        <v>0</v>
      </c>
      <c r="G52" s="1">
        <v>25692</v>
      </c>
      <c r="H52" s="1">
        <v>6423</v>
      </c>
    </row>
    <row r="53" spans="2:8" x14ac:dyDescent="0.25">
      <c r="B53" s="12">
        <v>1143</v>
      </c>
      <c r="C53" s="1">
        <v>260</v>
      </c>
      <c r="D53" s="1">
        <v>7</v>
      </c>
      <c r="E53" s="1">
        <v>8001</v>
      </c>
      <c r="F53" s="1">
        <v>0</v>
      </c>
      <c r="G53" s="1">
        <v>8001</v>
      </c>
      <c r="H53" s="1">
        <v>5715</v>
      </c>
    </row>
    <row r="54" spans="2:8" x14ac:dyDescent="0.25">
      <c r="B54" s="12">
        <v>615</v>
      </c>
      <c r="C54" s="1">
        <v>260</v>
      </c>
      <c r="D54" s="1">
        <v>15</v>
      </c>
      <c r="E54" s="1">
        <v>9225</v>
      </c>
      <c r="F54" s="1">
        <v>0</v>
      </c>
      <c r="G54" s="1">
        <v>9225</v>
      </c>
      <c r="H54" s="1">
        <v>6150</v>
      </c>
    </row>
    <row r="55" spans="2:8" x14ac:dyDescent="0.25">
      <c r="B55" s="12">
        <v>3945</v>
      </c>
      <c r="C55" s="1">
        <v>10</v>
      </c>
      <c r="D55" s="1">
        <v>7</v>
      </c>
      <c r="E55" s="1">
        <v>27615</v>
      </c>
      <c r="F55" s="1">
        <v>276.14999999999998</v>
      </c>
      <c r="G55" s="1">
        <v>27338.850000000002</v>
      </c>
      <c r="H55" s="1">
        <v>19725</v>
      </c>
    </row>
    <row r="56" spans="2:8" x14ac:dyDescent="0.25">
      <c r="B56" s="12">
        <v>2296</v>
      </c>
      <c r="C56" s="1">
        <v>10</v>
      </c>
      <c r="D56" s="1">
        <v>15</v>
      </c>
      <c r="E56" s="1">
        <v>34440</v>
      </c>
      <c r="F56" s="1">
        <v>344.4</v>
      </c>
      <c r="G56" s="1">
        <v>34095.599999999999</v>
      </c>
      <c r="H56" s="1">
        <v>22960</v>
      </c>
    </row>
    <row r="57" spans="2:8" x14ac:dyDescent="0.25">
      <c r="B57" s="12">
        <v>1030</v>
      </c>
      <c r="C57" s="1">
        <v>10</v>
      </c>
      <c r="D57" s="1">
        <v>7</v>
      </c>
      <c r="E57" s="1">
        <v>7210</v>
      </c>
      <c r="F57" s="1">
        <v>72.099999999999994</v>
      </c>
      <c r="G57" s="1">
        <v>7137.9</v>
      </c>
      <c r="H57" s="1">
        <v>5150</v>
      </c>
    </row>
    <row r="58" spans="2:8" x14ac:dyDescent="0.25">
      <c r="B58" s="12">
        <v>639</v>
      </c>
      <c r="C58" s="1">
        <v>120</v>
      </c>
      <c r="D58" s="1">
        <v>7</v>
      </c>
      <c r="E58" s="1">
        <v>4473</v>
      </c>
      <c r="F58" s="1">
        <v>44.73</v>
      </c>
      <c r="G58" s="1">
        <v>4428.2700000000004</v>
      </c>
      <c r="H58" s="1">
        <v>3195</v>
      </c>
    </row>
    <row r="59" spans="2:8" x14ac:dyDescent="0.25">
      <c r="B59" s="12">
        <v>1326</v>
      </c>
      <c r="C59" s="1">
        <v>250</v>
      </c>
      <c r="D59" s="1">
        <v>7</v>
      </c>
      <c r="E59" s="1">
        <v>9282</v>
      </c>
      <c r="F59" s="1">
        <v>92.82</v>
      </c>
      <c r="G59" s="1">
        <v>9189.18</v>
      </c>
      <c r="H59" s="1">
        <v>6630</v>
      </c>
    </row>
    <row r="60" spans="2:8" x14ac:dyDescent="0.25">
      <c r="B60" s="12">
        <v>1858</v>
      </c>
      <c r="C60" s="1">
        <v>3</v>
      </c>
      <c r="D60" s="1">
        <v>12</v>
      </c>
      <c r="E60" s="1">
        <v>22296</v>
      </c>
      <c r="F60" s="1">
        <v>222.96</v>
      </c>
      <c r="G60" s="1">
        <v>22073.040000000001</v>
      </c>
      <c r="H60" s="1">
        <v>5574</v>
      </c>
    </row>
    <row r="61" spans="2:8" x14ac:dyDescent="0.25">
      <c r="B61" s="12">
        <v>1210</v>
      </c>
      <c r="C61" s="1">
        <v>3</v>
      </c>
      <c r="D61" s="1">
        <v>350</v>
      </c>
      <c r="E61" s="1">
        <v>423500</v>
      </c>
      <c r="F61" s="1">
        <v>4235</v>
      </c>
      <c r="G61" s="1">
        <v>419265</v>
      </c>
      <c r="H61" s="1">
        <v>314600</v>
      </c>
    </row>
    <row r="62" spans="2:8" x14ac:dyDescent="0.25">
      <c r="B62" s="12">
        <v>2529</v>
      </c>
      <c r="C62" s="1">
        <v>3</v>
      </c>
      <c r="D62" s="1">
        <v>7</v>
      </c>
      <c r="E62" s="1">
        <v>17703</v>
      </c>
      <c r="F62" s="1">
        <v>177.03</v>
      </c>
      <c r="G62" s="1">
        <v>17525.97</v>
      </c>
      <c r="H62" s="1">
        <v>12645</v>
      </c>
    </row>
    <row r="63" spans="2:8" x14ac:dyDescent="0.25">
      <c r="B63" s="12">
        <v>1445</v>
      </c>
      <c r="C63" s="1">
        <v>3</v>
      </c>
      <c r="D63" s="1">
        <v>12</v>
      </c>
      <c r="E63" s="1">
        <v>17340</v>
      </c>
      <c r="F63" s="1">
        <v>173.4</v>
      </c>
      <c r="G63" s="1">
        <v>17166.599999999999</v>
      </c>
      <c r="H63" s="1">
        <v>4335</v>
      </c>
    </row>
    <row r="64" spans="2:8" x14ac:dyDescent="0.25">
      <c r="B64" s="12">
        <v>330</v>
      </c>
      <c r="C64" s="1">
        <v>3</v>
      </c>
      <c r="D64" s="1">
        <v>125</v>
      </c>
      <c r="E64" s="1">
        <v>41250</v>
      </c>
      <c r="F64" s="1">
        <v>412.5</v>
      </c>
      <c r="G64" s="1">
        <v>40837.5</v>
      </c>
      <c r="H64" s="1">
        <v>39600</v>
      </c>
    </row>
    <row r="65" spans="2:8" x14ac:dyDescent="0.25">
      <c r="B65" s="12">
        <v>2671</v>
      </c>
      <c r="C65" s="1">
        <v>3</v>
      </c>
      <c r="D65" s="1">
        <v>12</v>
      </c>
      <c r="E65" s="1">
        <v>32052</v>
      </c>
      <c r="F65" s="1">
        <v>320.52</v>
      </c>
      <c r="G65" s="1">
        <v>31731.48</v>
      </c>
      <c r="H65" s="1">
        <v>8013</v>
      </c>
    </row>
    <row r="66" spans="2:8" x14ac:dyDescent="0.25">
      <c r="B66" s="12">
        <v>766</v>
      </c>
      <c r="C66" s="1">
        <v>3</v>
      </c>
      <c r="D66" s="1">
        <v>12</v>
      </c>
      <c r="E66" s="1">
        <v>9192</v>
      </c>
      <c r="F66" s="1">
        <v>91.92</v>
      </c>
      <c r="G66" s="1">
        <v>9100.08</v>
      </c>
      <c r="H66" s="1">
        <v>2298</v>
      </c>
    </row>
    <row r="67" spans="2:8" x14ac:dyDescent="0.25">
      <c r="B67" s="12">
        <v>494</v>
      </c>
      <c r="C67" s="1">
        <v>3</v>
      </c>
      <c r="D67" s="1">
        <v>300</v>
      </c>
      <c r="E67" s="1">
        <v>148200</v>
      </c>
      <c r="F67" s="1">
        <v>1482</v>
      </c>
      <c r="G67" s="1">
        <v>146718</v>
      </c>
      <c r="H67" s="1">
        <v>123500</v>
      </c>
    </row>
    <row r="68" spans="2:8" x14ac:dyDescent="0.25">
      <c r="B68" s="12">
        <v>1397</v>
      </c>
      <c r="C68" s="1">
        <v>3</v>
      </c>
      <c r="D68" s="1">
        <v>350</v>
      </c>
      <c r="E68" s="1">
        <v>488950</v>
      </c>
      <c r="F68" s="1">
        <v>4889.5</v>
      </c>
      <c r="G68" s="1">
        <v>484060.5</v>
      </c>
      <c r="H68" s="1">
        <v>363220</v>
      </c>
    </row>
    <row r="69" spans="2:8" x14ac:dyDescent="0.25">
      <c r="B69" s="12">
        <v>2155</v>
      </c>
      <c r="C69" s="1">
        <v>3</v>
      </c>
      <c r="D69" s="1">
        <v>350</v>
      </c>
      <c r="E69" s="1">
        <v>754250</v>
      </c>
      <c r="F69" s="1">
        <v>7542.5</v>
      </c>
      <c r="G69" s="1">
        <v>746707.5</v>
      </c>
      <c r="H69" s="1">
        <v>560300</v>
      </c>
    </row>
    <row r="70" spans="2:8" x14ac:dyDescent="0.25">
      <c r="B70" s="12">
        <v>2214</v>
      </c>
      <c r="C70" s="1">
        <v>5</v>
      </c>
      <c r="D70" s="1">
        <v>15</v>
      </c>
      <c r="E70" s="1">
        <v>33210</v>
      </c>
      <c r="F70" s="1">
        <v>332.1</v>
      </c>
      <c r="G70" s="1">
        <v>32877.9</v>
      </c>
      <c r="H70" s="1">
        <v>22140</v>
      </c>
    </row>
    <row r="71" spans="2:8" x14ac:dyDescent="0.25">
      <c r="B71" s="12">
        <v>2301</v>
      </c>
      <c r="C71" s="1">
        <v>5</v>
      </c>
      <c r="D71" s="1">
        <v>300</v>
      </c>
      <c r="E71" s="1">
        <v>690300</v>
      </c>
      <c r="F71" s="1">
        <v>6903</v>
      </c>
      <c r="G71" s="1">
        <v>683397</v>
      </c>
      <c r="H71" s="1">
        <v>575250</v>
      </c>
    </row>
    <row r="72" spans="2:8" x14ac:dyDescent="0.25">
      <c r="B72" s="12">
        <v>1375.5</v>
      </c>
      <c r="C72" s="1">
        <v>5</v>
      </c>
      <c r="D72" s="1">
        <v>20</v>
      </c>
      <c r="E72" s="1">
        <v>27510</v>
      </c>
      <c r="F72" s="1">
        <v>275.10000000000002</v>
      </c>
      <c r="G72" s="1">
        <v>27234.899999999998</v>
      </c>
      <c r="H72" s="1">
        <v>13755</v>
      </c>
    </row>
    <row r="73" spans="2:8" x14ac:dyDescent="0.25">
      <c r="B73" s="12">
        <v>1830</v>
      </c>
      <c r="C73" s="1">
        <v>5</v>
      </c>
      <c r="D73" s="1">
        <v>7</v>
      </c>
      <c r="E73" s="1">
        <v>12810</v>
      </c>
      <c r="F73" s="1">
        <v>128.1</v>
      </c>
      <c r="G73" s="1">
        <v>12681.9</v>
      </c>
      <c r="H73" s="1">
        <v>9150</v>
      </c>
    </row>
    <row r="74" spans="2:8" x14ac:dyDescent="0.25">
      <c r="B74" s="12">
        <v>2498</v>
      </c>
      <c r="C74" s="1">
        <v>5</v>
      </c>
      <c r="D74" s="1">
        <v>300</v>
      </c>
      <c r="E74" s="1">
        <v>749400</v>
      </c>
      <c r="F74" s="1">
        <v>7494</v>
      </c>
      <c r="G74" s="1">
        <v>741906</v>
      </c>
      <c r="H74" s="1">
        <v>624500</v>
      </c>
    </row>
    <row r="75" spans="2:8" x14ac:dyDescent="0.25">
      <c r="B75" s="12">
        <v>663</v>
      </c>
      <c r="C75" s="1">
        <v>5</v>
      </c>
      <c r="D75" s="1">
        <v>125</v>
      </c>
      <c r="E75" s="1">
        <v>82875</v>
      </c>
      <c r="F75" s="1">
        <v>828.75</v>
      </c>
      <c r="G75" s="1">
        <v>82046.25</v>
      </c>
      <c r="H75" s="1">
        <v>79560</v>
      </c>
    </row>
    <row r="76" spans="2:8" x14ac:dyDescent="0.25">
      <c r="B76" s="12">
        <v>1514</v>
      </c>
      <c r="C76" s="1">
        <v>10</v>
      </c>
      <c r="D76" s="1">
        <v>15</v>
      </c>
      <c r="E76" s="1">
        <v>22710</v>
      </c>
      <c r="F76" s="1">
        <v>227.1</v>
      </c>
      <c r="G76" s="1">
        <v>22482.9</v>
      </c>
      <c r="H76" s="1">
        <v>15140</v>
      </c>
    </row>
    <row r="77" spans="2:8" x14ac:dyDescent="0.25">
      <c r="B77" s="12">
        <v>4492.5</v>
      </c>
      <c r="C77" s="1">
        <v>10</v>
      </c>
      <c r="D77" s="1">
        <v>7</v>
      </c>
      <c r="E77" s="1">
        <v>31447.5</v>
      </c>
      <c r="F77" s="1">
        <v>314.47500000000002</v>
      </c>
      <c r="G77" s="1">
        <v>31133.024999999998</v>
      </c>
      <c r="H77" s="1">
        <v>22462.5</v>
      </c>
    </row>
    <row r="78" spans="2:8" x14ac:dyDescent="0.25">
      <c r="B78" s="12">
        <v>727</v>
      </c>
      <c r="C78" s="1">
        <v>10</v>
      </c>
      <c r="D78" s="1">
        <v>125</v>
      </c>
      <c r="E78" s="1">
        <v>90875</v>
      </c>
      <c r="F78" s="1">
        <v>908.75</v>
      </c>
      <c r="G78" s="1">
        <v>89966.25</v>
      </c>
      <c r="H78" s="1">
        <v>87240</v>
      </c>
    </row>
    <row r="79" spans="2:8" x14ac:dyDescent="0.25">
      <c r="B79" s="12">
        <v>787</v>
      </c>
      <c r="C79" s="1">
        <v>10</v>
      </c>
      <c r="D79" s="1">
        <v>125</v>
      </c>
      <c r="E79" s="1">
        <v>98375</v>
      </c>
      <c r="F79" s="1">
        <v>983.75</v>
      </c>
      <c r="G79" s="1">
        <v>97391.25</v>
      </c>
      <c r="H79" s="1">
        <v>94440</v>
      </c>
    </row>
    <row r="80" spans="2:8" x14ac:dyDescent="0.25">
      <c r="B80" s="12">
        <v>1823</v>
      </c>
      <c r="C80" s="1">
        <v>10</v>
      </c>
      <c r="D80" s="1">
        <v>125</v>
      </c>
      <c r="E80" s="1">
        <v>227875</v>
      </c>
      <c r="F80" s="1">
        <v>2278.75</v>
      </c>
      <c r="G80" s="1">
        <v>225596.25</v>
      </c>
      <c r="H80" s="1">
        <v>218760</v>
      </c>
    </row>
    <row r="81" spans="2:8" x14ac:dyDescent="0.25">
      <c r="B81" s="12">
        <v>747</v>
      </c>
      <c r="C81" s="1">
        <v>10</v>
      </c>
      <c r="D81" s="1">
        <v>15</v>
      </c>
      <c r="E81" s="1">
        <v>11205</v>
      </c>
      <c r="F81" s="1">
        <v>112.05</v>
      </c>
      <c r="G81" s="1">
        <v>11092.95</v>
      </c>
      <c r="H81" s="1">
        <v>7470</v>
      </c>
    </row>
    <row r="82" spans="2:8" x14ac:dyDescent="0.25">
      <c r="B82" s="12">
        <v>766</v>
      </c>
      <c r="C82" s="1">
        <v>10</v>
      </c>
      <c r="D82" s="1">
        <v>12</v>
      </c>
      <c r="E82" s="1">
        <v>9192</v>
      </c>
      <c r="F82" s="1">
        <v>91.92</v>
      </c>
      <c r="G82" s="1">
        <v>9100.08</v>
      </c>
      <c r="H82" s="1">
        <v>2298</v>
      </c>
    </row>
    <row r="83" spans="2:8" x14ac:dyDescent="0.25">
      <c r="B83" s="12">
        <v>2905</v>
      </c>
      <c r="C83" s="1">
        <v>10</v>
      </c>
      <c r="D83" s="1">
        <v>300</v>
      </c>
      <c r="E83" s="1">
        <v>871500</v>
      </c>
      <c r="F83" s="1">
        <v>8715</v>
      </c>
      <c r="G83" s="1">
        <v>862785</v>
      </c>
      <c r="H83" s="1">
        <v>726250</v>
      </c>
    </row>
    <row r="84" spans="2:8" x14ac:dyDescent="0.25">
      <c r="B84" s="12">
        <v>2155</v>
      </c>
      <c r="C84" s="1">
        <v>10</v>
      </c>
      <c r="D84" s="1">
        <v>350</v>
      </c>
      <c r="E84" s="1">
        <v>754250</v>
      </c>
      <c r="F84" s="1">
        <v>7542.5</v>
      </c>
      <c r="G84" s="1">
        <v>746707.5</v>
      </c>
      <c r="H84" s="1">
        <v>560300</v>
      </c>
    </row>
    <row r="85" spans="2:8" x14ac:dyDescent="0.25">
      <c r="B85" s="12">
        <v>3864</v>
      </c>
      <c r="C85" s="1">
        <v>120</v>
      </c>
      <c r="D85" s="1">
        <v>20</v>
      </c>
      <c r="E85" s="1">
        <v>77280</v>
      </c>
      <c r="F85" s="1">
        <v>772.80000000000007</v>
      </c>
      <c r="G85" s="1">
        <v>76507.200000000012</v>
      </c>
      <c r="H85" s="1">
        <v>38640</v>
      </c>
    </row>
    <row r="86" spans="2:8" x14ac:dyDescent="0.25">
      <c r="B86" s="12">
        <v>362</v>
      </c>
      <c r="C86" s="1">
        <v>120</v>
      </c>
      <c r="D86" s="1">
        <v>7</v>
      </c>
      <c r="E86" s="1">
        <v>2534</v>
      </c>
      <c r="F86" s="1">
        <v>25.34</v>
      </c>
      <c r="G86" s="1">
        <v>2508.66</v>
      </c>
      <c r="H86" s="1">
        <v>1810</v>
      </c>
    </row>
    <row r="87" spans="2:8" x14ac:dyDescent="0.25">
      <c r="B87" s="12">
        <v>923</v>
      </c>
      <c r="C87" s="1">
        <v>120</v>
      </c>
      <c r="D87" s="1">
        <v>125</v>
      </c>
      <c r="E87" s="1">
        <v>115375</v>
      </c>
      <c r="F87" s="1">
        <v>1153.75</v>
      </c>
      <c r="G87" s="1">
        <v>114221.25</v>
      </c>
      <c r="H87" s="1">
        <v>110760</v>
      </c>
    </row>
    <row r="88" spans="2:8" x14ac:dyDescent="0.25">
      <c r="B88" s="12">
        <v>663</v>
      </c>
      <c r="C88" s="1">
        <v>120</v>
      </c>
      <c r="D88" s="1">
        <v>125</v>
      </c>
      <c r="E88" s="1">
        <v>82875</v>
      </c>
      <c r="F88" s="1">
        <v>828.75</v>
      </c>
      <c r="G88" s="1">
        <v>82046.25</v>
      </c>
      <c r="H88" s="1">
        <v>79560</v>
      </c>
    </row>
    <row r="89" spans="2:8" x14ac:dyDescent="0.25">
      <c r="B89" s="12">
        <v>2092</v>
      </c>
      <c r="C89" s="1">
        <v>120</v>
      </c>
      <c r="D89" s="1">
        <v>7</v>
      </c>
      <c r="E89" s="1">
        <v>14644</v>
      </c>
      <c r="F89" s="1">
        <v>146.44</v>
      </c>
      <c r="G89" s="1">
        <v>14497.56</v>
      </c>
      <c r="H89" s="1">
        <v>10460</v>
      </c>
    </row>
    <row r="90" spans="2:8" x14ac:dyDescent="0.25">
      <c r="B90" s="12">
        <v>263</v>
      </c>
      <c r="C90" s="1">
        <v>250</v>
      </c>
      <c r="D90" s="1">
        <v>7</v>
      </c>
      <c r="E90" s="1">
        <v>1841</v>
      </c>
      <c r="F90" s="1">
        <v>18.41</v>
      </c>
      <c r="G90" s="1">
        <v>1822.59</v>
      </c>
      <c r="H90" s="1">
        <v>1315</v>
      </c>
    </row>
    <row r="91" spans="2:8" x14ac:dyDescent="0.25">
      <c r="B91" s="12">
        <v>943.5</v>
      </c>
      <c r="C91" s="1">
        <v>250</v>
      </c>
      <c r="D91" s="1">
        <v>350</v>
      </c>
      <c r="E91" s="1">
        <v>330225</v>
      </c>
      <c r="F91" s="1">
        <v>3302.25</v>
      </c>
      <c r="G91" s="1">
        <v>326922.75</v>
      </c>
      <c r="H91" s="1">
        <v>245310</v>
      </c>
    </row>
    <row r="92" spans="2:8" x14ac:dyDescent="0.25">
      <c r="B92" s="12">
        <v>727</v>
      </c>
      <c r="C92" s="1">
        <v>250</v>
      </c>
      <c r="D92" s="1">
        <v>125</v>
      </c>
      <c r="E92" s="1">
        <v>90875</v>
      </c>
      <c r="F92" s="1">
        <v>908.75</v>
      </c>
      <c r="G92" s="1">
        <v>89966.25</v>
      </c>
      <c r="H92" s="1">
        <v>87240</v>
      </c>
    </row>
    <row r="93" spans="2:8" x14ac:dyDescent="0.25">
      <c r="B93" s="12">
        <v>787</v>
      </c>
      <c r="C93" s="1">
        <v>250</v>
      </c>
      <c r="D93" s="1">
        <v>125</v>
      </c>
      <c r="E93" s="1">
        <v>98375</v>
      </c>
      <c r="F93" s="1">
        <v>983.75</v>
      </c>
      <c r="G93" s="1">
        <v>97391.25</v>
      </c>
      <c r="H93" s="1">
        <v>94440</v>
      </c>
    </row>
    <row r="94" spans="2:8" x14ac:dyDescent="0.25">
      <c r="B94" s="12">
        <v>986</v>
      </c>
      <c r="C94" s="1">
        <v>250</v>
      </c>
      <c r="D94" s="1">
        <v>300</v>
      </c>
      <c r="E94" s="1">
        <v>295800</v>
      </c>
      <c r="F94" s="1">
        <v>2958</v>
      </c>
      <c r="G94" s="1">
        <v>292842</v>
      </c>
      <c r="H94" s="1">
        <v>246500</v>
      </c>
    </row>
    <row r="95" spans="2:8" x14ac:dyDescent="0.25">
      <c r="B95" s="12">
        <v>494</v>
      </c>
      <c r="C95" s="1">
        <v>250</v>
      </c>
      <c r="D95" s="1">
        <v>300</v>
      </c>
      <c r="E95" s="1">
        <v>148200</v>
      </c>
      <c r="F95" s="1">
        <v>1482</v>
      </c>
      <c r="G95" s="1">
        <v>146718</v>
      </c>
      <c r="H95" s="1">
        <v>123500</v>
      </c>
    </row>
    <row r="96" spans="2:8" x14ac:dyDescent="0.25">
      <c r="B96" s="12">
        <v>1397</v>
      </c>
      <c r="C96" s="1">
        <v>250</v>
      </c>
      <c r="D96" s="1">
        <v>350</v>
      </c>
      <c r="E96" s="1">
        <v>488950</v>
      </c>
      <c r="F96" s="1">
        <v>4889.5</v>
      </c>
      <c r="G96" s="1">
        <v>484060.5</v>
      </c>
      <c r="H96" s="1">
        <v>363220</v>
      </c>
    </row>
    <row r="97" spans="2:8" x14ac:dyDescent="0.25">
      <c r="B97" s="12">
        <v>1744</v>
      </c>
      <c r="C97" s="1">
        <v>250</v>
      </c>
      <c r="D97" s="1">
        <v>125</v>
      </c>
      <c r="E97" s="1">
        <v>218000</v>
      </c>
      <c r="F97" s="1">
        <v>2180</v>
      </c>
      <c r="G97" s="1">
        <v>215820</v>
      </c>
      <c r="H97" s="1">
        <v>209280</v>
      </c>
    </row>
    <row r="98" spans="2:8" x14ac:dyDescent="0.25">
      <c r="B98" s="12">
        <v>1989</v>
      </c>
      <c r="C98" s="1">
        <v>260</v>
      </c>
      <c r="D98" s="1">
        <v>12</v>
      </c>
      <c r="E98" s="1">
        <v>23868</v>
      </c>
      <c r="F98" s="1">
        <v>238.68</v>
      </c>
      <c r="G98" s="1">
        <v>23629.32</v>
      </c>
      <c r="H98" s="1">
        <v>5967</v>
      </c>
    </row>
    <row r="99" spans="2:8" x14ac:dyDescent="0.25">
      <c r="B99" s="12">
        <v>321</v>
      </c>
      <c r="C99" s="1">
        <v>260</v>
      </c>
      <c r="D99" s="1">
        <v>15</v>
      </c>
      <c r="E99" s="1">
        <v>4815</v>
      </c>
      <c r="F99" s="1">
        <v>48.15</v>
      </c>
      <c r="G99" s="1">
        <v>4766.8500000000004</v>
      </c>
      <c r="H99" s="1">
        <v>3210</v>
      </c>
    </row>
    <row r="100" spans="2:8" x14ac:dyDescent="0.25">
      <c r="B100" s="12">
        <v>742.5</v>
      </c>
      <c r="C100" s="1">
        <v>3</v>
      </c>
      <c r="D100" s="1">
        <v>125</v>
      </c>
      <c r="E100" s="1">
        <v>92812.5</v>
      </c>
      <c r="F100" s="1">
        <v>1856.25</v>
      </c>
      <c r="G100" s="1">
        <v>90956.25</v>
      </c>
      <c r="H100" s="1">
        <v>89100</v>
      </c>
    </row>
    <row r="101" spans="2:8" x14ac:dyDescent="0.25">
      <c r="B101" s="12">
        <v>1295</v>
      </c>
      <c r="C101" s="1">
        <v>3</v>
      </c>
      <c r="D101" s="1">
        <v>12</v>
      </c>
      <c r="E101" s="1">
        <v>15540</v>
      </c>
      <c r="F101" s="1">
        <v>310.8</v>
      </c>
      <c r="G101" s="1">
        <v>15229.2</v>
      </c>
      <c r="H101" s="1">
        <v>3885</v>
      </c>
    </row>
    <row r="102" spans="2:8" x14ac:dyDescent="0.25">
      <c r="B102" s="12">
        <v>214</v>
      </c>
      <c r="C102" s="1">
        <v>3</v>
      </c>
      <c r="D102" s="1">
        <v>300</v>
      </c>
      <c r="E102" s="1">
        <v>64200</v>
      </c>
      <c r="F102" s="1">
        <v>1284</v>
      </c>
      <c r="G102" s="1">
        <v>62916</v>
      </c>
      <c r="H102" s="1">
        <v>53500</v>
      </c>
    </row>
    <row r="103" spans="2:8" x14ac:dyDescent="0.25">
      <c r="B103" s="12">
        <v>2145</v>
      </c>
      <c r="C103" s="1">
        <v>3</v>
      </c>
      <c r="D103" s="1">
        <v>7</v>
      </c>
      <c r="E103" s="1">
        <v>15015</v>
      </c>
      <c r="F103" s="1">
        <v>300.3</v>
      </c>
      <c r="G103" s="1">
        <v>14714.7</v>
      </c>
      <c r="H103" s="1">
        <v>10725</v>
      </c>
    </row>
    <row r="104" spans="2:8" x14ac:dyDescent="0.25">
      <c r="B104" s="12">
        <v>2852</v>
      </c>
      <c r="C104" s="1">
        <v>3</v>
      </c>
      <c r="D104" s="1">
        <v>350</v>
      </c>
      <c r="E104" s="1">
        <v>998200</v>
      </c>
      <c r="F104" s="1">
        <v>19964</v>
      </c>
      <c r="G104" s="1">
        <v>978236</v>
      </c>
      <c r="H104" s="1">
        <v>741520</v>
      </c>
    </row>
    <row r="105" spans="2:8" x14ac:dyDescent="0.25">
      <c r="B105" s="12">
        <v>1142</v>
      </c>
      <c r="C105" s="1">
        <v>5</v>
      </c>
      <c r="D105" s="1">
        <v>12</v>
      </c>
      <c r="E105" s="1">
        <v>13704</v>
      </c>
      <c r="F105" s="1">
        <v>274.08</v>
      </c>
      <c r="G105" s="1">
        <v>13429.92</v>
      </c>
      <c r="H105" s="1">
        <v>3426</v>
      </c>
    </row>
    <row r="106" spans="2:8" x14ac:dyDescent="0.25">
      <c r="B106" s="12">
        <v>1566</v>
      </c>
      <c r="C106" s="1">
        <v>5</v>
      </c>
      <c r="D106" s="1">
        <v>20</v>
      </c>
      <c r="E106" s="1">
        <v>31320</v>
      </c>
      <c r="F106" s="1">
        <v>626.4</v>
      </c>
      <c r="G106" s="1">
        <v>30693.599999999999</v>
      </c>
      <c r="H106" s="1">
        <v>15660</v>
      </c>
    </row>
    <row r="107" spans="2:8" x14ac:dyDescent="0.25">
      <c r="B107" s="12">
        <v>690</v>
      </c>
      <c r="C107" s="1">
        <v>5</v>
      </c>
      <c r="D107" s="1">
        <v>12</v>
      </c>
      <c r="E107" s="1">
        <v>8280</v>
      </c>
      <c r="F107" s="1">
        <v>165.6</v>
      </c>
      <c r="G107" s="1">
        <v>8114.4</v>
      </c>
      <c r="H107" s="1">
        <v>2070</v>
      </c>
    </row>
    <row r="108" spans="2:8" x14ac:dyDescent="0.25">
      <c r="B108" s="12">
        <v>1660</v>
      </c>
      <c r="C108" s="1">
        <v>5</v>
      </c>
      <c r="D108" s="1">
        <v>125</v>
      </c>
      <c r="E108" s="1">
        <v>207500</v>
      </c>
      <c r="F108" s="1">
        <v>4150</v>
      </c>
      <c r="G108" s="1">
        <v>203350</v>
      </c>
      <c r="H108" s="1">
        <v>199200</v>
      </c>
    </row>
    <row r="109" spans="2:8" x14ac:dyDescent="0.25">
      <c r="B109" s="12">
        <v>2363</v>
      </c>
      <c r="C109" s="1">
        <v>10</v>
      </c>
      <c r="D109" s="1">
        <v>15</v>
      </c>
      <c r="E109" s="1">
        <v>35445</v>
      </c>
      <c r="F109" s="1">
        <v>708.9</v>
      </c>
      <c r="G109" s="1">
        <v>34736.1</v>
      </c>
      <c r="H109" s="1">
        <v>23630</v>
      </c>
    </row>
    <row r="110" spans="2:8" x14ac:dyDescent="0.25">
      <c r="B110" s="12">
        <v>918</v>
      </c>
      <c r="C110" s="1">
        <v>10</v>
      </c>
      <c r="D110" s="1">
        <v>300</v>
      </c>
      <c r="E110" s="1">
        <v>275400</v>
      </c>
      <c r="F110" s="1">
        <v>5508</v>
      </c>
      <c r="G110" s="1">
        <v>269892</v>
      </c>
      <c r="H110" s="1">
        <v>229500</v>
      </c>
    </row>
    <row r="111" spans="2:8" x14ac:dyDescent="0.25">
      <c r="B111" s="12">
        <v>1728</v>
      </c>
      <c r="C111" s="1">
        <v>10</v>
      </c>
      <c r="D111" s="1">
        <v>300</v>
      </c>
      <c r="E111" s="1">
        <v>518400</v>
      </c>
      <c r="F111" s="1">
        <v>10368</v>
      </c>
      <c r="G111" s="1">
        <v>508032</v>
      </c>
      <c r="H111" s="1">
        <v>432000</v>
      </c>
    </row>
    <row r="112" spans="2:8" x14ac:dyDescent="0.25">
      <c r="B112" s="12">
        <v>1142</v>
      </c>
      <c r="C112" s="1">
        <v>10</v>
      </c>
      <c r="D112" s="1">
        <v>12</v>
      </c>
      <c r="E112" s="1">
        <v>13704</v>
      </c>
      <c r="F112" s="1">
        <v>274.08</v>
      </c>
      <c r="G112" s="1">
        <v>13429.92</v>
      </c>
      <c r="H112" s="1">
        <v>3426</v>
      </c>
    </row>
    <row r="113" spans="2:8" x14ac:dyDescent="0.25">
      <c r="B113" s="12">
        <v>662</v>
      </c>
      <c r="C113" s="1">
        <v>10</v>
      </c>
      <c r="D113" s="1">
        <v>125</v>
      </c>
      <c r="E113" s="1">
        <v>82750</v>
      </c>
      <c r="F113" s="1">
        <v>1655</v>
      </c>
      <c r="G113" s="1">
        <v>81095</v>
      </c>
      <c r="H113" s="1">
        <v>79440</v>
      </c>
    </row>
    <row r="114" spans="2:8" x14ac:dyDescent="0.25">
      <c r="B114" s="12">
        <v>1295</v>
      </c>
      <c r="C114" s="1">
        <v>10</v>
      </c>
      <c r="D114" s="1">
        <v>12</v>
      </c>
      <c r="E114" s="1">
        <v>15540</v>
      </c>
      <c r="F114" s="1">
        <v>310.8</v>
      </c>
      <c r="G114" s="1">
        <v>15229.2</v>
      </c>
      <c r="H114" s="1">
        <v>3885</v>
      </c>
    </row>
    <row r="115" spans="2:8" x14ac:dyDescent="0.25">
      <c r="B115" s="12">
        <v>809</v>
      </c>
      <c r="C115" s="1">
        <v>10</v>
      </c>
      <c r="D115" s="1">
        <v>125</v>
      </c>
      <c r="E115" s="1">
        <v>101125</v>
      </c>
      <c r="F115" s="1">
        <v>2022.5</v>
      </c>
      <c r="G115" s="1">
        <v>99102.5</v>
      </c>
      <c r="H115" s="1">
        <v>97080</v>
      </c>
    </row>
    <row r="116" spans="2:8" x14ac:dyDescent="0.25">
      <c r="B116" s="12">
        <v>2145</v>
      </c>
      <c r="C116" s="1">
        <v>10</v>
      </c>
      <c r="D116" s="1">
        <v>125</v>
      </c>
      <c r="E116" s="1">
        <v>268125</v>
      </c>
      <c r="F116" s="1">
        <v>5362.5</v>
      </c>
      <c r="G116" s="1">
        <v>262762.5</v>
      </c>
      <c r="H116" s="1">
        <v>257400</v>
      </c>
    </row>
    <row r="117" spans="2:8" x14ac:dyDescent="0.25">
      <c r="B117" s="12">
        <v>1785</v>
      </c>
      <c r="C117" s="1">
        <v>10</v>
      </c>
      <c r="D117" s="1">
        <v>12</v>
      </c>
      <c r="E117" s="1">
        <v>21420</v>
      </c>
      <c r="F117" s="1">
        <v>428.4</v>
      </c>
      <c r="G117" s="1">
        <v>20991.599999999999</v>
      </c>
      <c r="H117" s="1">
        <v>5355</v>
      </c>
    </row>
    <row r="118" spans="2:8" x14ac:dyDescent="0.25">
      <c r="B118" s="12">
        <v>1916</v>
      </c>
      <c r="C118" s="1">
        <v>10</v>
      </c>
      <c r="D118" s="1">
        <v>300</v>
      </c>
      <c r="E118" s="1">
        <v>574800</v>
      </c>
      <c r="F118" s="1">
        <v>11496</v>
      </c>
      <c r="G118" s="1">
        <v>563304</v>
      </c>
      <c r="H118" s="1">
        <v>479000</v>
      </c>
    </row>
    <row r="119" spans="2:8" x14ac:dyDescent="0.25">
      <c r="B119" s="12">
        <v>2852</v>
      </c>
      <c r="C119" s="1">
        <v>10</v>
      </c>
      <c r="D119" s="1">
        <v>350</v>
      </c>
      <c r="E119" s="1">
        <v>998200</v>
      </c>
      <c r="F119" s="1">
        <v>19964</v>
      </c>
      <c r="G119" s="1">
        <v>978236</v>
      </c>
      <c r="H119" s="1">
        <v>741520</v>
      </c>
    </row>
    <row r="120" spans="2:8" x14ac:dyDescent="0.25">
      <c r="B120" s="12">
        <v>2729</v>
      </c>
      <c r="C120" s="1">
        <v>10</v>
      </c>
      <c r="D120" s="1">
        <v>125</v>
      </c>
      <c r="E120" s="1">
        <v>341125</v>
      </c>
      <c r="F120" s="1">
        <v>6822.5</v>
      </c>
      <c r="G120" s="1">
        <v>334302.5</v>
      </c>
      <c r="H120" s="1">
        <v>327480</v>
      </c>
    </row>
    <row r="121" spans="2:8" x14ac:dyDescent="0.25">
      <c r="B121" s="12">
        <v>1925</v>
      </c>
      <c r="C121" s="1">
        <v>10</v>
      </c>
      <c r="D121" s="1">
        <v>15</v>
      </c>
      <c r="E121" s="1">
        <v>28875</v>
      </c>
      <c r="F121" s="1">
        <v>577.5</v>
      </c>
      <c r="G121" s="1">
        <v>28297.5</v>
      </c>
      <c r="H121" s="1">
        <v>19250</v>
      </c>
    </row>
    <row r="122" spans="2:8" x14ac:dyDescent="0.25">
      <c r="B122" s="12">
        <v>2013</v>
      </c>
      <c r="C122" s="1">
        <v>10</v>
      </c>
      <c r="D122" s="1">
        <v>7</v>
      </c>
      <c r="E122" s="1">
        <v>14091</v>
      </c>
      <c r="F122" s="1">
        <v>281.82</v>
      </c>
      <c r="G122" s="1">
        <v>13809.18</v>
      </c>
      <c r="H122" s="1">
        <v>10065</v>
      </c>
    </row>
    <row r="123" spans="2:8" x14ac:dyDescent="0.25">
      <c r="B123" s="12">
        <v>1055</v>
      </c>
      <c r="C123" s="1">
        <v>10</v>
      </c>
      <c r="D123" s="1">
        <v>12</v>
      </c>
      <c r="E123" s="1">
        <v>12660</v>
      </c>
      <c r="F123" s="1">
        <v>253.2</v>
      </c>
      <c r="G123" s="1">
        <v>12406.8</v>
      </c>
      <c r="H123" s="1">
        <v>3165</v>
      </c>
    </row>
    <row r="124" spans="2:8" x14ac:dyDescent="0.25">
      <c r="B124" s="12">
        <v>1084</v>
      </c>
      <c r="C124" s="1">
        <v>10</v>
      </c>
      <c r="D124" s="1">
        <v>12</v>
      </c>
      <c r="E124" s="1">
        <v>13008</v>
      </c>
      <c r="F124" s="1">
        <v>260.16000000000003</v>
      </c>
      <c r="G124" s="1">
        <v>12747.84</v>
      </c>
      <c r="H124" s="1">
        <v>3252</v>
      </c>
    </row>
    <row r="125" spans="2:8" x14ac:dyDescent="0.25">
      <c r="B125" s="12">
        <v>1566</v>
      </c>
      <c r="C125" s="1">
        <v>120</v>
      </c>
      <c r="D125" s="1">
        <v>20</v>
      </c>
      <c r="E125" s="1">
        <v>31320</v>
      </c>
      <c r="F125" s="1">
        <v>626.4</v>
      </c>
      <c r="G125" s="1">
        <v>30693.599999999999</v>
      </c>
      <c r="H125" s="1">
        <v>15660</v>
      </c>
    </row>
    <row r="126" spans="2:8" x14ac:dyDescent="0.25">
      <c r="B126" s="12">
        <v>2966</v>
      </c>
      <c r="C126" s="1">
        <v>120</v>
      </c>
      <c r="D126" s="1">
        <v>350</v>
      </c>
      <c r="E126" s="1">
        <v>1038100</v>
      </c>
      <c r="F126" s="1">
        <v>20762</v>
      </c>
      <c r="G126" s="1">
        <v>1017338</v>
      </c>
      <c r="H126" s="1">
        <v>771160</v>
      </c>
    </row>
    <row r="127" spans="2:8" x14ac:dyDescent="0.25">
      <c r="B127" s="12">
        <v>2877</v>
      </c>
      <c r="C127" s="1">
        <v>120</v>
      </c>
      <c r="D127" s="1">
        <v>350</v>
      </c>
      <c r="E127" s="1">
        <v>1006950</v>
      </c>
      <c r="F127" s="1">
        <v>20139</v>
      </c>
      <c r="G127" s="1">
        <v>986811</v>
      </c>
      <c r="H127" s="1">
        <v>748020</v>
      </c>
    </row>
    <row r="128" spans="2:8" x14ac:dyDescent="0.25">
      <c r="B128" s="12">
        <v>809</v>
      </c>
      <c r="C128" s="1">
        <v>120</v>
      </c>
      <c r="D128" s="1">
        <v>125</v>
      </c>
      <c r="E128" s="1">
        <v>101125</v>
      </c>
      <c r="F128" s="1">
        <v>2022.5</v>
      </c>
      <c r="G128" s="1">
        <v>99102.5</v>
      </c>
      <c r="H128" s="1">
        <v>97080</v>
      </c>
    </row>
    <row r="129" spans="2:8" x14ac:dyDescent="0.25">
      <c r="B129" s="12">
        <v>2145</v>
      </c>
      <c r="C129" s="1">
        <v>120</v>
      </c>
      <c r="D129" s="1">
        <v>125</v>
      </c>
      <c r="E129" s="1">
        <v>268125</v>
      </c>
      <c r="F129" s="1">
        <v>5362.5</v>
      </c>
      <c r="G129" s="1">
        <v>262762.5</v>
      </c>
      <c r="H129" s="1">
        <v>257400</v>
      </c>
    </row>
    <row r="130" spans="2:8" x14ac:dyDescent="0.25">
      <c r="B130" s="12">
        <v>1055</v>
      </c>
      <c r="C130" s="1">
        <v>120</v>
      </c>
      <c r="D130" s="1">
        <v>12</v>
      </c>
      <c r="E130" s="1">
        <v>12660</v>
      </c>
      <c r="F130" s="1">
        <v>253.2</v>
      </c>
      <c r="G130" s="1">
        <v>12406.8</v>
      </c>
      <c r="H130" s="1">
        <v>3165</v>
      </c>
    </row>
    <row r="131" spans="2:8" x14ac:dyDescent="0.25">
      <c r="B131" s="12">
        <v>544</v>
      </c>
      <c r="C131" s="1">
        <v>120</v>
      </c>
      <c r="D131" s="1">
        <v>20</v>
      </c>
      <c r="E131" s="1">
        <v>10880</v>
      </c>
      <c r="F131" s="1">
        <v>217.6</v>
      </c>
      <c r="G131" s="1">
        <v>10662.4</v>
      </c>
      <c r="H131" s="1">
        <v>5440</v>
      </c>
    </row>
    <row r="132" spans="2:8" x14ac:dyDescent="0.25">
      <c r="B132" s="12">
        <v>1084</v>
      </c>
      <c r="C132" s="1">
        <v>120</v>
      </c>
      <c r="D132" s="1">
        <v>12</v>
      </c>
      <c r="E132" s="1">
        <v>13008</v>
      </c>
      <c r="F132" s="1">
        <v>260.16000000000003</v>
      </c>
      <c r="G132" s="1">
        <v>12747.84</v>
      </c>
      <c r="H132" s="1">
        <v>3252</v>
      </c>
    </row>
    <row r="133" spans="2:8" x14ac:dyDescent="0.25">
      <c r="B133" s="12">
        <v>662</v>
      </c>
      <c r="C133" s="1">
        <v>250</v>
      </c>
      <c r="D133" s="1">
        <v>125</v>
      </c>
      <c r="E133" s="1">
        <v>82750</v>
      </c>
      <c r="F133" s="1">
        <v>1655</v>
      </c>
      <c r="G133" s="1">
        <v>81095</v>
      </c>
      <c r="H133" s="1">
        <v>79440</v>
      </c>
    </row>
    <row r="134" spans="2:8" x14ac:dyDescent="0.25">
      <c r="B134" s="12">
        <v>214</v>
      </c>
      <c r="C134" s="1">
        <v>250</v>
      </c>
      <c r="D134" s="1">
        <v>300</v>
      </c>
      <c r="E134" s="1">
        <v>64200</v>
      </c>
      <c r="F134" s="1">
        <v>1284</v>
      </c>
      <c r="G134" s="1">
        <v>62916</v>
      </c>
      <c r="H134" s="1">
        <v>53500</v>
      </c>
    </row>
    <row r="135" spans="2:8" x14ac:dyDescent="0.25">
      <c r="B135" s="12">
        <v>2877</v>
      </c>
      <c r="C135" s="1">
        <v>250</v>
      </c>
      <c r="D135" s="1">
        <v>350</v>
      </c>
      <c r="E135" s="1">
        <v>1006950</v>
      </c>
      <c r="F135" s="1">
        <v>20139</v>
      </c>
      <c r="G135" s="1">
        <v>986811</v>
      </c>
      <c r="H135" s="1">
        <v>748020</v>
      </c>
    </row>
    <row r="136" spans="2:8" x14ac:dyDescent="0.25">
      <c r="B136" s="12">
        <v>2729</v>
      </c>
      <c r="C136" s="1">
        <v>250</v>
      </c>
      <c r="D136" s="1">
        <v>125</v>
      </c>
      <c r="E136" s="1">
        <v>341125</v>
      </c>
      <c r="F136" s="1">
        <v>6822.5</v>
      </c>
      <c r="G136" s="1">
        <v>334302.5</v>
      </c>
      <c r="H136" s="1">
        <v>327480</v>
      </c>
    </row>
    <row r="137" spans="2:8" x14ac:dyDescent="0.25">
      <c r="B137" s="12">
        <v>266</v>
      </c>
      <c r="C137" s="1">
        <v>250</v>
      </c>
      <c r="D137" s="1">
        <v>350</v>
      </c>
      <c r="E137" s="1">
        <v>93100</v>
      </c>
      <c r="F137" s="1">
        <v>1862</v>
      </c>
      <c r="G137" s="1">
        <v>91238</v>
      </c>
      <c r="H137" s="1">
        <v>69160</v>
      </c>
    </row>
    <row r="138" spans="2:8" x14ac:dyDescent="0.25">
      <c r="B138" s="12">
        <v>1940</v>
      </c>
      <c r="C138" s="1">
        <v>250</v>
      </c>
      <c r="D138" s="1">
        <v>350</v>
      </c>
      <c r="E138" s="1">
        <v>679000</v>
      </c>
      <c r="F138" s="1">
        <v>13580</v>
      </c>
      <c r="G138" s="1">
        <v>665420</v>
      </c>
      <c r="H138" s="1">
        <v>504400</v>
      </c>
    </row>
    <row r="139" spans="2:8" x14ac:dyDescent="0.25">
      <c r="B139" s="12">
        <v>259</v>
      </c>
      <c r="C139" s="1">
        <v>260</v>
      </c>
      <c r="D139" s="1">
        <v>300</v>
      </c>
      <c r="E139" s="1">
        <v>77700</v>
      </c>
      <c r="F139" s="1">
        <v>1554</v>
      </c>
      <c r="G139" s="1">
        <v>76146</v>
      </c>
      <c r="H139" s="1">
        <v>64750</v>
      </c>
    </row>
    <row r="140" spans="2:8" x14ac:dyDescent="0.25">
      <c r="B140" s="12">
        <v>1101</v>
      </c>
      <c r="C140" s="1">
        <v>260</v>
      </c>
      <c r="D140" s="1">
        <v>300</v>
      </c>
      <c r="E140" s="1">
        <v>330300</v>
      </c>
      <c r="F140" s="1">
        <v>6606</v>
      </c>
      <c r="G140" s="1">
        <v>323694</v>
      </c>
      <c r="H140" s="1">
        <v>275250</v>
      </c>
    </row>
    <row r="141" spans="2:8" x14ac:dyDescent="0.25">
      <c r="B141" s="12">
        <v>2276</v>
      </c>
      <c r="C141" s="1">
        <v>260</v>
      </c>
      <c r="D141" s="1">
        <v>125</v>
      </c>
      <c r="E141" s="1">
        <v>284500</v>
      </c>
      <c r="F141" s="1">
        <v>5690</v>
      </c>
      <c r="G141" s="1">
        <v>278810</v>
      </c>
      <c r="H141" s="1">
        <v>273120</v>
      </c>
    </row>
    <row r="142" spans="2:8" x14ac:dyDescent="0.25">
      <c r="B142" s="12">
        <v>2966</v>
      </c>
      <c r="C142" s="1">
        <v>260</v>
      </c>
      <c r="D142" s="1">
        <v>350</v>
      </c>
      <c r="E142" s="1">
        <v>1038100</v>
      </c>
      <c r="F142" s="1">
        <v>20762</v>
      </c>
      <c r="G142" s="1">
        <v>1017338</v>
      </c>
      <c r="H142" s="1">
        <v>771160</v>
      </c>
    </row>
    <row r="143" spans="2:8" x14ac:dyDescent="0.25">
      <c r="B143" s="12">
        <v>1236</v>
      </c>
      <c r="C143" s="1">
        <v>260</v>
      </c>
      <c r="D143" s="1">
        <v>20</v>
      </c>
      <c r="E143" s="1">
        <v>24720</v>
      </c>
      <c r="F143" s="1">
        <v>494.4</v>
      </c>
      <c r="G143" s="1">
        <v>24225.599999999999</v>
      </c>
      <c r="H143" s="1">
        <v>12360</v>
      </c>
    </row>
    <row r="144" spans="2:8" x14ac:dyDescent="0.25">
      <c r="B144" s="12">
        <v>941</v>
      </c>
      <c r="C144" s="1">
        <v>260</v>
      </c>
      <c r="D144" s="1">
        <v>20</v>
      </c>
      <c r="E144" s="1">
        <v>18820</v>
      </c>
      <c r="F144" s="1">
        <v>376.4</v>
      </c>
      <c r="G144" s="1">
        <v>18443.599999999999</v>
      </c>
      <c r="H144" s="1">
        <v>9410</v>
      </c>
    </row>
    <row r="145" spans="2:8" x14ac:dyDescent="0.25">
      <c r="B145" s="12">
        <v>1916</v>
      </c>
      <c r="C145" s="1">
        <v>260</v>
      </c>
      <c r="D145" s="1">
        <v>300</v>
      </c>
      <c r="E145" s="1">
        <v>574800</v>
      </c>
      <c r="F145" s="1">
        <v>11496</v>
      </c>
      <c r="G145" s="1">
        <v>563304</v>
      </c>
      <c r="H145" s="1">
        <v>479000</v>
      </c>
    </row>
    <row r="146" spans="2:8" x14ac:dyDescent="0.25">
      <c r="B146" s="12">
        <v>4243.5</v>
      </c>
      <c r="C146" s="1">
        <v>3</v>
      </c>
      <c r="D146" s="1">
        <v>125</v>
      </c>
      <c r="E146" s="1">
        <v>530437.5</v>
      </c>
      <c r="F146" s="1">
        <v>15913.125</v>
      </c>
      <c r="G146" s="1">
        <v>514524.375</v>
      </c>
      <c r="H146" s="1">
        <v>509220</v>
      </c>
    </row>
    <row r="147" spans="2:8" x14ac:dyDescent="0.25">
      <c r="B147" s="12">
        <v>2580</v>
      </c>
      <c r="C147" s="1">
        <v>3</v>
      </c>
      <c r="D147" s="1">
        <v>20</v>
      </c>
      <c r="E147" s="1">
        <v>51600</v>
      </c>
      <c r="F147" s="1">
        <v>1548</v>
      </c>
      <c r="G147" s="1">
        <v>50052</v>
      </c>
      <c r="H147" s="1">
        <v>25800</v>
      </c>
    </row>
    <row r="148" spans="2:8" x14ac:dyDescent="0.25">
      <c r="B148" s="12">
        <v>689</v>
      </c>
      <c r="C148" s="1">
        <v>3</v>
      </c>
      <c r="D148" s="1">
        <v>300</v>
      </c>
      <c r="E148" s="1">
        <v>206700</v>
      </c>
      <c r="F148" s="1">
        <v>6201</v>
      </c>
      <c r="G148" s="1">
        <v>200499</v>
      </c>
      <c r="H148" s="1">
        <v>172250</v>
      </c>
    </row>
    <row r="149" spans="2:8" x14ac:dyDescent="0.25">
      <c r="B149" s="12">
        <v>1947</v>
      </c>
      <c r="C149" s="1">
        <v>3</v>
      </c>
      <c r="D149" s="1">
        <v>12</v>
      </c>
      <c r="E149" s="1">
        <v>23364</v>
      </c>
      <c r="F149" s="1">
        <v>700.92</v>
      </c>
      <c r="G149" s="1">
        <v>22663.08</v>
      </c>
      <c r="H149" s="1">
        <v>5841</v>
      </c>
    </row>
    <row r="150" spans="2:8" x14ac:dyDescent="0.25">
      <c r="B150" s="12">
        <v>908</v>
      </c>
      <c r="C150" s="1">
        <v>3</v>
      </c>
      <c r="D150" s="1">
        <v>12</v>
      </c>
      <c r="E150" s="1">
        <v>10896</v>
      </c>
      <c r="F150" s="1">
        <v>326.88</v>
      </c>
      <c r="G150" s="1">
        <v>10569.12</v>
      </c>
      <c r="H150" s="1">
        <v>2724</v>
      </c>
    </row>
    <row r="151" spans="2:8" x14ac:dyDescent="0.25">
      <c r="B151" s="12">
        <v>1958</v>
      </c>
      <c r="C151" s="1">
        <v>5</v>
      </c>
      <c r="D151" s="1">
        <v>7</v>
      </c>
      <c r="E151" s="1">
        <v>13706</v>
      </c>
      <c r="F151" s="1">
        <v>411.18</v>
      </c>
      <c r="G151" s="1">
        <v>13294.82</v>
      </c>
      <c r="H151" s="1">
        <v>9790</v>
      </c>
    </row>
    <row r="152" spans="2:8" x14ac:dyDescent="0.25">
      <c r="B152" s="12">
        <v>1901</v>
      </c>
      <c r="C152" s="1">
        <v>5</v>
      </c>
      <c r="D152" s="1">
        <v>12</v>
      </c>
      <c r="E152" s="1">
        <v>22812</v>
      </c>
      <c r="F152" s="1">
        <v>684.36</v>
      </c>
      <c r="G152" s="1">
        <v>22127.64</v>
      </c>
      <c r="H152" s="1">
        <v>5703</v>
      </c>
    </row>
    <row r="153" spans="2:8" x14ac:dyDescent="0.25">
      <c r="B153" s="12">
        <v>544</v>
      </c>
      <c r="C153" s="1">
        <v>5</v>
      </c>
      <c r="D153" s="1">
        <v>7</v>
      </c>
      <c r="E153" s="1">
        <v>3808</v>
      </c>
      <c r="F153" s="1">
        <v>114.24</v>
      </c>
      <c r="G153" s="1">
        <v>3693.76</v>
      </c>
      <c r="H153" s="1">
        <v>2720</v>
      </c>
    </row>
    <row r="154" spans="2:8" x14ac:dyDescent="0.25">
      <c r="B154" s="12">
        <v>1797</v>
      </c>
      <c r="C154" s="1">
        <v>5</v>
      </c>
      <c r="D154" s="1">
        <v>350</v>
      </c>
      <c r="E154" s="1">
        <v>628950</v>
      </c>
      <c r="F154" s="1">
        <v>18868.5</v>
      </c>
      <c r="G154" s="1">
        <v>610081.5</v>
      </c>
      <c r="H154" s="1">
        <v>467220</v>
      </c>
    </row>
    <row r="155" spans="2:8" x14ac:dyDescent="0.25">
      <c r="B155" s="12">
        <v>1287</v>
      </c>
      <c r="C155" s="1">
        <v>5</v>
      </c>
      <c r="D155" s="1">
        <v>125</v>
      </c>
      <c r="E155" s="1">
        <v>160875</v>
      </c>
      <c r="F155" s="1">
        <v>4826.25</v>
      </c>
      <c r="G155" s="1">
        <v>156048.75</v>
      </c>
      <c r="H155" s="1">
        <v>154440</v>
      </c>
    </row>
    <row r="156" spans="2:8" x14ac:dyDescent="0.25">
      <c r="B156" s="12">
        <v>1706</v>
      </c>
      <c r="C156" s="1">
        <v>5</v>
      </c>
      <c r="D156" s="1">
        <v>125</v>
      </c>
      <c r="E156" s="1">
        <v>213250</v>
      </c>
      <c r="F156" s="1">
        <v>6397.5</v>
      </c>
      <c r="G156" s="1">
        <v>206852.5</v>
      </c>
      <c r="H156" s="1">
        <v>204720</v>
      </c>
    </row>
    <row r="157" spans="2:8" x14ac:dyDescent="0.25">
      <c r="B157" s="12">
        <v>2434.5</v>
      </c>
      <c r="C157" s="1">
        <v>10</v>
      </c>
      <c r="D157" s="1">
        <v>300</v>
      </c>
      <c r="E157" s="1">
        <v>730350</v>
      </c>
      <c r="F157" s="1">
        <v>21910.5</v>
      </c>
      <c r="G157" s="1">
        <v>708439.5</v>
      </c>
      <c r="H157" s="1">
        <v>608625</v>
      </c>
    </row>
    <row r="158" spans="2:8" x14ac:dyDescent="0.25">
      <c r="B158" s="12">
        <v>1774</v>
      </c>
      <c r="C158" s="1">
        <v>10</v>
      </c>
      <c r="D158" s="1">
        <v>125</v>
      </c>
      <c r="E158" s="1">
        <v>221750</v>
      </c>
      <c r="F158" s="1">
        <v>6652.5</v>
      </c>
      <c r="G158" s="1">
        <v>215097.5</v>
      </c>
      <c r="H158" s="1">
        <v>212880</v>
      </c>
    </row>
    <row r="159" spans="2:8" x14ac:dyDescent="0.25">
      <c r="B159" s="12">
        <v>1901</v>
      </c>
      <c r="C159" s="1">
        <v>10</v>
      </c>
      <c r="D159" s="1">
        <v>12</v>
      </c>
      <c r="E159" s="1">
        <v>22812</v>
      </c>
      <c r="F159" s="1">
        <v>684.36</v>
      </c>
      <c r="G159" s="1">
        <v>22127.64</v>
      </c>
      <c r="H159" s="1">
        <v>5703</v>
      </c>
    </row>
    <row r="160" spans="2:8" x14ac:dyDescent="0.25">
      <c r="B160" s="12">
        <v>689</v>
      </c>
      <c r="C160" s="1">
        <v>10</v>
      </c>
      <c r="D160" s="1">
        <v>300</v>
      </c>
      <c r="E160" s="1">
        <v>206700</v>
      </c>
      <c r="F160" s="1">
        <v>6201</v>
      </c>
      <c r="G160" s="1">
        <v>200499</v>
      </c>
      <c r="H160" s="1">
        <v>172250</v>
      </c>
    </row>
    <row r="161" spans="2:8" x14ac:dyDescent="0.25">
      <c r="B161" s="12">
        <v>1570</v>
      </c>
      <c r="C161" s="1">
        <v>10</v>
      </c>
      <c r="D161" s="1">
        <v>125</v>
      </c>
      <c r="E161" s="1">
        <v>196250</v>
      </c>
      <c r="F161" s="1">
        <v>5887.5</v>
      </c>
      <c r="G161" s="1">
        <v>190362.5</v>
      </c>
      <c r="H161" s="1">
        <v>188400</v>
      </c>
    </row>
    <row r="162" spans="2:8" x14ac:dyDescent="0.25">
      <c r="B162" s="12">
        <v>1369.5</v>
      </c>
      <c r="C162" s="1">
        <v>10</v>
      </c>
      <c r="D162" s="1">
        <v>12</v>
      </c>
      <c r="E162" s="1">
        <v>16434</v>
      </c>
      <c r="F162" s="1">
        <v>493.02</v>
      </c>
      <c r="G162" s="1">
        <v>15940.98</v>
      </c>
      <c r="H162" s="1">
        <v>4108.5</v>
      </c>
    </row>
    <row r="163" spans="2:8" x14ac:dyDescent="0.25">
      <c r="B163" s="12">
        <v>2009</v>
      </c>
      <c r="C163" s="1">
        <v>10</v>
      </c>
      <c r="D163" s="1">
        <v>125</v>
      </c>
      <c r="E163" s="1">
        <v>251125</v>
      </c>
      <c r="F163" s="1">
        <v>7533.75</v>
      </c>
      <c r="G163" s="1">
        <v>243591.25</v>
      </c>
      <c r="H163" s="1">
        <v>241080</v>
      </c>
    </row>
    <row r="164" spans="2:8" x14ac:dyDescent="0.25">
      <c r="B164" s="12">
        <v>1945</v>
      </c>
      <c r="C164" s="1">
        <v>10</v>
      </c>
      <c r="D164" s="1">
        <v>15</v>
      </c>
      <c r="E164" s="1">
        <v>29175</v>
      </c>
      <c r="F164" s="1">
        <v>875.25</v>
      </c>
      <c r="G164" s="1">
        <v>28299.75</v>
      </c>
      <c r="H164" s="1">
        <v>19450</v>
      </c>
    </row>
    <row r="165" spans="2:8" x14ac:dyDescent="0.25">
      <c r="B165" s="12">
        <v>1287</v>
      </c>
      <c r="C165" s="1">
        <v>10</v>
      </c>
      <c r="D165" s="1">
        <v>125</v>
      </c>
      <c r="E165" s="1">
        <v>160875</v>
      </c>
      <c r="F165" s="1">
        <v>4826.25</v>
      </c>
      <c r="G165" s="1">
        <v>156048.75</v>
      </c>
      <c r="H165" s="1">
        <v>154440</v>
      </c>
    </row>
    <row r="166" spans="2:8" x14ac:dyDescent="0.25">
      <c r="B166" s="12">
        <v>1706</v>
      </c>
      <c r="C166" s="1">
        <v>10</v>
      </c>
      <c r="D166" s="1">
        <v>125</v>
      </c>
      <c r="E166" s="1">
        <v>213250</v>
      </c>
      <c r="F166" s="1">
        <v>6397.5</v>
      </c>
      <c r="G166" s="1">
        <v>206852.5</v>
      </c>
      <c r="H166" s="1">
        <v>204720</v>
      </c>
    </row>
    <row r="167" spans="2:8" x14ac:dyDescent="0.25">
      <c r="B167" s="12">
        <v>2009</v>
      </c>
      <c r="C167" s="1">
        <v>120</v>
      </c>
      <c r="D167" s="1">
        <v>125</v>
      </c>
      <c r="E167" s="1">
        <v>251125</v>
      </c>
      <c r="F167" s="1">
        <v>7533.75</v>
      </c>
      <c r="G167" s="1">
        <v>243591.25</v>
      </c>
      <c r="H167" s="1">
        <v>241080</v>
      </c>
    </row>
    <row r="168" spans="2:8" x14ac:dyDescent="0.25">
      <c r="B168" s="12">
        <v>2844</v>
      </c>
      <c r="C168" s="1">
        <v>250</v>
      </c>
      <c r="D168" s="1">
        <v>300</v>
      </c>
      <c r="E168" s="1">
        <v>853200</v>
      </c>
      <c r="F168" s="1">
        <v>25596</v>
      </c>
      <c r="G168" s="1">
        <v>827604</v>
      </c>
      <c r="H168" s="1">
        <v>711000</v>
      </c>
    </row>
    <row r="169" spans="2:8" x14ac:dyDescent="0.25">
      <c r="B169" s="12">
        <v>1916</v>
      </c>
      <c r="C169" s="1">
        <v>250</v>
      </c>
      <c r="D169" s="1">
        <v>12</v>
      </c>
      <c r="E169" s="1">
        <v>22992</v>
      </c>
      <c r="F169" s="1">
        <v>689.76</v>
      </c>
      <c r="G169" s="1">
        <v>22302.240000000002</v>
      </c>
      <c r="H169" s="1">
        <v>5748</v>
      </c>
    </row>
    <row r="170" spans="2:8" x14ac:dyDescent="0.25">
      <c r="B170" s="12">
        <v>1570</v>
      </c>
      <c r="C170" s="1">
        <v>250</v>
      </c>
      <c r="D170" s="1">
        <v>125</v>
      </c>
      <c r="E170" s="1">
        <v>196250</v>
      </c>
      <c r="F170" s="1">
        <v>5887.5</v>
      </c>
      <c r="G170" s="1">
        <v>190362.5</v>
      </c>
      <c r="H170" s="1">
        <v>188400</v>
      </c>
    </row>
    <row r="171" spans="2:8" x14ac:dyDescent="0.25">
      <c r="B171" s="12">
        <v>1874</v>
      </c>
      <c r="C171" s="1">
        <v>250</v>
      </c>
      <c r="D171" s="1">
        <v>300</v>
      </c>
      <c r="E171" s="1">
        <v>562200</v>
      </c>
      <c r="F171" s="1">
        <v>16866</v>
      </c>
      <c r="G171" s="1">
        <v>545334</v>
      </c>
      <c r="H171" s="1">
        <v>468500</v>
      </c>
    </row>
    <row r="172" spans="2:8" x14ac:dyDescent="0.25">
      <c r="B172" s="12">
        <v>1642</v>
      </c>
      <c r="C172" s="1">
        <v>250</v>
      </c>
      <c r="D172" s="1">
        <v>350</v>
      </c>
      <c r="E172" s="1">
        <v>574700</v>
      </c>
      <c r="F172" s="1">
        <v>17241</v>
      </c>
      <c r="G172" s="1">
        <v>557459</v>
      </c>
      <c r="H172" s="1">
        <v>426920</v>
      </c>
    </row>
    <row r="173" spans="2:8" x14ac:dyDescent="0.25">
      <c r="B173" s="12">
        <v>1945</v>
      </c>
      <c r="C173" s="1">
        <v>250</v>
      </c>
      <c r="D173" s="1">
        <v>15</v>
      </c>
      <c r="E173" s="1">
        <v>29175</v>
      </c>
      <c r="F173" s="1">
        <v>875.25</v>
      </c>
      <c r="G173" s="1">
        <v>28299.75</v>
      </c>
      <c r="H173" s="1">
        <v>19450</v>
      </c>
    </row>
    <row r="174" spans="2:8" x14ac:dyDescent="0.25">
      <c r="B174" s="12">
        <v>831</v>
      </c>
      <c r="C174" s="1">
        <v>3</v>
      </c>
      <c r="D174" s="1">
        <v>20</v>
      </c>
      <c r="E174" s="1">
        <v>16620</v>
      </c>
      <c r="F174" s="1">
        <v>498.6</v>
      </c>
      <c r="G174" s="1">
        <v>16121.4</v>
      </c>
      <c r="H174" s="1">
        <v>8310</v>
      </c>
    </row>
    <row r="175" spans="2:8" x14ac:dyDescent="0.25">
      <c r="B175" s="12">
        <v>1760</v>
      </c>
      <c r="C175" s="1">
        <v>10</v>
      </c>
      <c r="D175" s="1">
        <v>7</v>
      </c>
      <c r="E175" s="1">
        <v>12320</v>
      </c>
      <c r="F175" s="1">
        <v>369.6</v>
      </c>
      <c r="G175" s="1">
        <v>11950.4</v>
      </c>
      <c r="H175" s="1">
        <v>8800</v>
      </c>
    </row>
    <row r="176" spans="2:8" x14ac:dyDescent="0.25">
      <c r="B176" s="12">
        <v>3850.5</v>
      </c>
      <c r="C176" s="1">
        <v>120</v>
      </c>
      <c r="D176" s="1">
        <v>20</v>
      </c>
      <c r="E176" s="1">
        <v>77010</v>
      </c>
      <c r="F176" s="1">
        <v>2310.3000000000002</v>
      </c>
      <c r="G176" s="1">
        <v>74699.700000000012</v>
      </c>
      <c r="H176" s="1">
        <v>38505</v>
      </c>
    </row>
    <row r="177" spans="2:8" x14ac:dyDescent="0.25">
      <c r="B177" s="12">
        <v>2479</v>
      </c>
      <c r="C177" s="1">
        <v>250</v>
      </c>
      <c r="D177" s="1">
        <v>12</v>
      </c>
      <c r="E177" s="1">
        <v>29748</v>
      </c>
      <c r="F177" s="1">
        <v>892.44</v>
      </c>
      <c r="G177" s="1">
        <v>28855.56</v>
      </c>
      <c r="H177" s="1">
        <v>7437</v>
      </c>
    </row>
    <row r="178" spans="2:8" x14ac:dyDescent="0.25">
      <c r="B178" s="12">
        <v>2031</v>
      </c>
      <c r="C178" s="1">
        <v>5</v>
      </c>
      <c r="D178" s="1">
        <v>15</v>
      </c>
      <c r="E178" s="1">
        <v>30465</v>
      </c>
      <c r="F178" s="1">
        <v>1218.5999999999999</v>
      </c>
      <c r="G178" s="1">
        <v>29246.400000000001</v>
      </c>
      <c r="H178" s="1">
        <v>20310</v>
      </c>
    </row>
    <row r="179" spans="2:8" x14ac:dyDescent="0.25">
      <c r="B179" s="12">
        <v>2031</v>
      </c>
      <c r="C179" s="1">
        <v>10</v>
      </c>
      <c r="D179" s="1">
        <v>15</v>
      </c>
      <c r="E179" s="1">
        <v>30465</v>
      </c>
      <c r="F179" s="1">
        <v>1218.5999999999999</v>
      </c>
      <c r="G179" s="1">
        <v>29246.400000000001</v>
      </c>
      <c r="H179" s="1">
        <v>20310</v>
      </c>
    </row>
    <row r="180" spans="2:8" x14ac:dyDescent="0.25">
      <c r="B180" s="12">
        <v>2261</v>
      </c>
      <c r="C180" s="1">
        <v>10</v>
      </c>
      <c r="D180" s="1">
        <v>15</v>
      </c>
      <c r="E180" s="1">
        <v>33915</v>
      </c>
      <c r="F180" s="1">
        <v>1356.6</v>
      </c>
      <c r="G180" s="1">
        <v>32558.400000000001</v>
      </c>
      <c r="H180" s="1">
        <v>22610</v>
      </c>
    </row>
    <row r="181" spans="2:8" x14ac:dyDescent="0.25">
      <c r="B181" s="12">
        <v>736</v>
      </c>
      <c r="C181" s="1">
        <v>120</v>
      </c>
      <c r="D181" s="1">
        <v>20</v>
      </c>
      <c r="E181" s="1">
        <v>14720</v>
      </c>
      <c r="F181" s="1">
        <v>588.79999999999995</v>
      </c>
      <c r="G181" s="1">
        <v>14131.2</v>
      </c>
      <c r="H181" s="1">
        <v>7360</v>
      </c>
    </row>
    <row r="182" spans="2:8" x14ac:dyDescent="0.25">
      <c r="B182" s="12">
        <v>2851</v>
      </c>
      <c r="C182" s="1">
        <v>3</v>
      </c>
      <c r="D182" s="1">
        <v>7</v>
      </c>
      <c r="E182" s="1">
        <v>19957</v>
      </c>
      <c r="F182" s="1">
        <v>798.28</v>
      </c>
      <c r="G182" s="1">
        <v>19158.72</v>
      </c>
      <c r="H182" s="1">
        <v>14255</v>
      </c>
    </row>
    <row r="183" spans="2:8" x14ac:dyDescent="0.25">
      <c r="B183" s="12">
        <v>2021</v>
      </c>
      <c r="C183" s="1">
        <v>3</v>
      </c>
      <c r="D183" s="1">
        <v>300</v>
      </c>
      <c r="E183" s="1">
        <v>606300</v>
      </c>
      <c r="F183" s="1">
        <v>24252</v>
      </c>
      <c r="G183" s="1">
        <v>582048</v>
      </c>
      <c r="H183" s="1">
        <v>505250</v>
      </c>
    </row>
    <row r="184" spans="2:8" x14ac:dyDescent="0.25">
      <c r="B184" s="12">
        <v>274</v>
      </c>
      <c r="C184" s="1">
        <v>3</v>
      </c>
      <c r="D184" s="1">
        <v>350</v>
      </c>
      <c r="E184" s="1">
        <v>95900</v>
      </c>
      <c r="F184" s="1">
        <v>3836</v>
      </c>
      <c r="G184" s="1">
        <v>92064</v>
      </c>
      <c r="H184" s="1">
        <v>71240</v>
      </c>
    </row>
    <row r="185" spans="2:8" x14ac:dyDescent="0.25">
      <c r="B185" s="12">
        <v>1967</v>
      </c>
      <c r="C185" s="1">
        <v>5</v>
      </c>
      <c r="D185" s="1">
        <v>15</v>
      </c>
      <c r="E185" s="1">
        <v>29505</v>
      </c>
      <c r="F185" s="1">
        <v>1180.2</v>
      </c>
      <c r="G185" s="1">
        <v>28324.799999999999</v>
      </c>
      <c r="H185" s="1">
        <v>19670</v>
      </c>
    </row>
    <row r="186" spans="2:8" x14ac:dyDescent="0.25">
      <c r="B186" s="12">
        <v>1859</v>
      </c>
      <c r="C186" s="1">
        <v>5</v>
      </c>
      <c r="D186" s="1">
        <v>300</v>
      </c>
      <c r="E186" s="1">
        <v>557700</v>
      </c>
      <c r="F186" s="1">
        <v>22308</v>
      </c>
      <c r="G186" s="1">
        <v>535392</v>
      </c>
      <c r="H186" s="1">
        <v>464750</v>
      </c>
    </row>
    <row r="187" spans="2:8" x14ac:dyDescent="0.25">
      <c r="B187" s="12">
        <v>2851</v>
      </c>
      <c r="C187" s="1">
        <v>5</v>
      </c>
      <c r="D187" s="1">
        <v>7</v>
      </c>
      <c r="E187" s="1">
        <v>19957</v>
      </c>
      <c r="F187" s="1">
        <v>798.28</v>
      </c>
      <c r="G187" s="1">
        <v>19158.72</v>
      </c>
      <c r="H187" s="1">
        <v>14255</v>
      </c>
    </row>
    <row r="188" spans="2:8" x14ac:dyDescent="0.25">
      <c r="B188" s="12">
        <v>2021</v>
      </c>
      <c r="C188" s="1">
        <v>5</v>
      </c>
      <c r="D188" s="1">
        <v>300</v>
      </c>
      <c r="E188" s="1">
        <v>606300</v>
      </c>
      <c r="F188" s="1">
        <v>24252</v>
      </c>
      <c r="G188" s="1">
        <v>582048</v>
      </c>
      <c r="H188" s="1">
        <v>505250</v>
      </c>
    </row>
    <row r="189" spans="2:8" x14ac:dyDescent="0.25">
      <c r="B189" s="12">
        <v>1138</v>
      </c>
      <c r="C189" s="1">
        <v>5</v>
      </c>
      <c r="D189" s="1">
        <v>125</v>
      </c>
      <c r="E189" s="1">
        <v>142250</v>
      </c>
      <c r="F189" s="1">
        <v>5690</v>
      </c>
      <c r="G189" s="1">
        <v>136560</v>
      </c>
      <c r="H189" s="1">
        <v>136560</v>
      </c>
    </row>
    <row r="190" spans="2:8" x14ac:dyDescent="0.25">
      <c r="B190" s="12">
        <v>4251</v>
      </c>
      <c r="C190" s="1">
        <v>10</v>
      </c>
      <c r="D190" s="1">
        <v>7</v>
      </c>
      <c r="E190" s="1">
        <v>29757</v>
      </c>
      <c r="F190" s="1">
        <v>1190.28</v>
      </c>
      <c r="G190" s="1">
        <v>28566.720000000001</v>
      </c>
      <c r="H190" s="1">
        <v>21255</v>
      </c>
    </row>
    <row r="191" spans="2:8" x14ac:dyDescent="0.25">
      <c r="B191" s="12">
        <v>795</v>
      </c>
      <c r="C191" s="1">
        <v>10</v>
      </c>
      <c r="D191" s="1">
        <v>125</v>
      </c>
      <c r="E191" s="1">
        <v>99375</v>
      </c>
      <c r="F191" s="1">
        <v>3975</v>
      </c>
      <c r="G191" s="1">
        <v>95400</v>
      </c>
      <c r="H191" s="1">
        <v>95400</v>
      </c>
    </row>
    <row r="192" spans="2:8" x14ac:dyDescent="0.25">
      <c r="B192" s="12">
        <v>1414.5</v>
      </c>
      <c r="C192" s="1">
        <v>10</v>
      </c>
      <c r="D192" s="1">
        <v>300</v>
      </c>
      <c r="E192" s="1">
        <v>424350</v>
      </c>
      <c r="F192" s="1">
        <v>16974</v>
      </c>
      <c r="G192" s="1">
        <v>407376</v>
      </c>
      <c r="H192" s="1">
        <v>353625</v>
      </c>
    </row>
    <row r="193" spans="2:8" x14ac:dyDescent="0.25">
      <c r="B193" s="12">
        <v>2918</v>
      </c>
      <c r="C193" s="1">
        <v>10</v>
      </c>
      <c r="D193" s="1">
        <v>300</v>
      </c>
      <c r="E193" s="1">
        <v>875400</v>
      </c>
      <c r="F193" s="1">
        <v>35016</v>
      </c>
      <c r="G193" s="1">
        <v>840384</v>
      </c>
      <c r="H193" s="1">
        <v>729500</v>
      </c>
    </row>
    <row r="194" spans="2:8" x14ac:dyDescent="0.25">
      <c r="B194" s="12">
        <v>3450</v>
      </c>
      <c r="C194" s="1">
        <v>10</v>
      </c>
      <c r="D194" s="1">
        <v>350</v>
      </c>
      <c r="E194" s="1">
        <v>1207500</v>
      </c>
      <c r="F194" s="1">
        <v>48300</v>
      </c>
      <c r="G194" s="1">
        <v>1159200</v>
      </c>
      <c r="H194" s="1">
        <v>897000</v>
      </c>
    </row>
    <row r="195" spans="2:8" x14ac:dyDescent="0.25">
      <c r="B195" s="12">
        <v>2988</v>
      </c>
      <c r="C195" s="1">
        <v>10</v>
      </c>
      <c r="D195" s="1">
        <v>125</v>
      </c>
      <c r="E195" s="1">
        <v>373500</v>
      </c>
      <c r="F195" s="1">
        <v>14940</v>
      </c>
      <c r="G195" s="1">
        <v>358560</v>
      </c>
      <c r="H195" s="1">
        <v>358560</v>
      </c>
    </row>
    <row r="196" spans="2:8" x14ac:dyDescent="0.25">
      <c r="B196" s="12">
        <v>218</v>
      </c>
      <c r="C196" s="1">
        <v>10</v>
      </c>
      <c r="D196" s="1">
        <v>15</v>
      </c>
      <c r="E196" s="1">
        <v>3270</v>
      </c>
      <c r="F196" s="1">
        <v>130.80000000000001</v>
      </c>
      <c r="G196" s="1">
        <v>3139.2</v>
      </c>
      <c r="H196" s="1">
        <v>2180</v>
      </c>
    </row>
    <row r="197" spans="2:8" x14ac:dyDescent="0.25">
      <c r="B197" s="12">
        <v>2074</v>
      </c>
      <c r="C197" s="1">
        <v>10</v>
      </c>
      <c r="D197" s="1">
        <v>20</v>
      </c>
      <c r="E197" s="1">
        <v>41480</v>
      </c>
      <c r="F197" s="1">
        <v>1659.2</v>
      </c>
      <c r="G197" s="1">
        <v>39820.800000000003</v>
      </c>
      <c r="H197" s="1">
        <v>20740</v>
      </c>
    </row>
    <row r="198" spans="2:8" x14ac:dyDescent="0.25">
      <c r="B198" s="12">
        <v>1056</v>
      </c>
      <c r="C198" s="1">
        <v>10</v>
      </c>
      <c r="D198" s="1">
        <v>20</v>
      </c>
      <c r="E198" s="1">
        <v>21120</v>
      </c>
      <c r="F198" s="1">
        <v>844.8</v>
      </c>
      <c r="G198" s="1">
        <v>20275.2</v>
      </c>
      <c r="H198" s="1">
        <v>10560</v>
      </c>
    </row>
    <row r="199" spans="2:8" x14ac:dyDescent="0.25">
      <c r="B199" s="12">
        <v>671</v>
      </c>
      <c r="C199" s="1">
        <v>10</v>
      </c>
      <c r="D199" s="1">
        <v>15</v>
      </c>
      <c r="E199" s="1">
        <v>10065</v>
      </c>
      <c r="F199" s="1">
        <v>402.6</v>
      </c>
      <c r="G199" s="1">
        <v>9662.4</v>
      </c>
      <c r="H199" s="1">
        <v>6710</v>
      </c>
    </row>
    <row r="200" spans="2:8" x14ac:dyDescent="0.25">
      <c r="B200" s="12">
        <v>1514</v>
      </c>
      <c r="C200" s="1">
        <v>10</v>
      </c>
      <c r="D200" s="1">
        <v>15</v>
      </c>
      <c r="E200" s="1">
        <v>22710</v>
      </c>
      <c r="F200" s="1">
        <v>908.4</v>
      </c>
      <c r="G200" s="1">
        <v>21801.599999999999</v>
      </c>
      <c r="H200" s="1">
        <v>15140</v>
      </c>
    </row>
    <row r="201" spans="2:8" x14ac:dyDescent="0.25">
      <c r="B201" s="12">
        <v>274</v>
      </c>
      <c r="C201" s="1">
        <v>10</v>
      </c>
      <c r="D201" s="1">
        <v>350</v>
      </c>
      <c r="E201" s="1">
        <v>95900</v>
      </c>
      <c r="F201" s="1">
        <v>3836</v>
      </c>
      <c r="G201" s="1">
        <v>92064</v>
      </c>
      <c r="H201" s="1">
        <v>71240</v>
      </c>
    </row>
    <row r="202" spans="2:8" x14ac:dyDescent="0.25">
      <c r="B202" s="12">
        <v>1138</v>
      </c>
      <c r="C202" s="1">
        <v>10</v>
      </c>
      <c r="D202" s="1">
        <v>125</v>
      </c>
      <c r="E202" s="1">
        <v>142250</v>
      </c>
      <c r="F202" s="1">
        <v>5690</v>
      </c>
      <c r="G202" s="1">
        <v>136560</v>
      </c>
      <c r="H202" s="1">
        <v>136560</v>
      </c>
    </row>
    <row r="203" spans="2:8" x14ac:dyDescent="0.25">
      <c r="B203" s="12">
        <v>1465</v>
      </c>
      <c r="C203" s="1">
        <v>120</v>
      </c>
      <c r="D203" s="1">
        <v>12</v>
      </c>
      <c r="E203" s="1">
        <v>17580</v>
      </c>
      <c r="F203" s="1">
        <v>703.2</v>
      </c>
      <c r="G203" s="1">
        <v>16876.8</v>
      </c>
      <c r="H203" s="1">
        <v>4395</v>
      </c>
    </row>
    <row r="204" spans="2:8" x14ac:dyDescent="0.25">
      <c r="B204" s="12">
        <v>2646</v>
      </c>
      <c r="C204" s="1">
        <v>120</v>
      </c>
      <c r="D204" s="1">
        <v>20</v>
      </c>
      <c r="E204" s="1">
        <v>52920</v>
      </c>
      <c r="F204" s="1">
        <v>2116.8000000000002</v>
      </c>
      <c r="G204" s="1">
        <v>50803.199999999997</v>
      </c>
      <c r="H204" s="1">
        <v>26460</v>
      </c>
    </row>
    <row r="205" spans="2:8" x14ac:dyDescent="0.25">
      <c r="B205" s="12">
        <v>2177</v>
      </c>
      <c r="C205" s="1">
        <v>120</v>
      </c>
      <c r="D205" s="1">
        <v>350</v>
      </c>
      <c r="E205" s="1">
        <v>761950</v>
      </c>
      <c r="F205" s="1">
        <v>30478</v>
      </c>
      <c r="G205" s="1">
        <v>731472</v>
      </c>
      <c r="H205" s="1">
        <v>566020</v>
      </c>
    </row>
    <row r="206" spans="2:8" x14ac:dyDescent="0.25">
      <c r="B206" s="12">
        <v>866</v>
      </c>
      <c r="C206" s="1">
        <v>250</v>
      </c>
      <c r="D206" s="1">
        <v>12</v>
      </c>
      <c r="E206" s="1">
        <v>10392</v>
      </c>
      <c r="F206" s="1">
        <v>415.68</v>
      </c>
      <c r="G206" s="1">
        <v>9976.32</v>
      </c>
      <c r="H206" s="1">
        <v>2598</v>
      </c>
    </row>
    <row r="207" spans="2:8" x14ac:dyDescent="0.25">
      <c r="B207" s="12">
        <v>349</v>
      </c>
      <c r="C207" s="1">
        <v>250</v>
      </c>
      <c r="D207" s="1">
        <v>350</v>
      </c>
      <c r="E207" s="1">
        <v>122150</v>
      </c>
      <c r="F207" s="1">
        <v>4886</v>
      </c>
      <c r="G207" s="1">
        <v>117264</v>
      </c>
      <c r="H207" s="1">
        <v>90740</v>
      </c>
    </row>
    <row r="208" spans="2:8" x14ac:dyDescent="0.25">
      <c r="B208" s="12">
        <v>2177</v>
      </c>
      <c r="C208" s="1">
        <v>250</v>
      </c>
      <c r="D208" s="1">
        <v>350</v>
      </c>
      <c r="E208" s="1">
        <v>761950</v>
      </c>
      <c r="F208" s="1">
        <v>30478</v>
      </c>
      <c r="G208" s="1">
        <v>731472</v>
      </c>
      <c r="H208" s="1">
        <v>566020</v>
      </c>
    </row>
    <row r="209" spans="2:8" x14ac:dyDescent="0.25">
      <c r="B209" s="12">
        <v>1514</v>
      </c>
      <c r="C209" s="1">
        <v>250</v>
      </c>
      <c r="D209" s="1">
        <v>15</v>
      </c>
      <c r="E209" s="1">
        <v>22710</v>
      </c>
      <c r="F209" s="1">
        <v>908.4</v>
      </c>
      <c r="G209" s="1">
        <v>21801.599999999999</v>
      </c>
      <c r="H209" s="1">
        <v>15140</v>
      </c>
    </row>
    <row r="210" spans="2:8" x14ac:dyDescent="0.25">
      <c r="B210" s="12">
        <v>1865</v>
      </c>
      <c r="C210" s="1">
        <v>260</v>
      </c>
      <c r="D210" s="1">
        <v>350</v>
      </c>
      <c r="E210" s="1">
        <v>652750</v>
      </c>
      <c r="F210" s="1">
        <v>26110</v>
      </c>
      <c r="G210" s="1">
        <v>626640</v>
      </c>
      <c r="H210" s="1">
        <v>484900</v>
      </c>
    </row>
    <row r="211" spans="2:8" x14ac:dyDescent="0.25">
      <c r="B211" s="12">
        <v>1074</v>
      </c>
      <c r="C211" s="1">
        <v>260</v>
      </c>
      <c r="D211" s="1">
        <v>125</v>
      </c>
      <c r="E211" s="1">
        <v>134250</v>
      </c>
      <c r="F211" s="1">
        <v>5370</v>
      </c>
      <c r="G211" s="1">
        <v>128880</v>
      </c>
      <c r="H211" s="1">
        <v>128880</v>
      </c>
    </row>
    <row r="212" spans="2:8" x14ac:dyDescent="0.25">
      <c r="B212" s="12">
        <v>1907</v>
      </c>
      <c r="C212" s="1">
        <v>260</v>
      </c>
      <c r="D212" s="1">
        <v>350</v>
      </c>
      <c r="E212" s="1">
        <v>667450</v>
      </c>
      <c r="F212" s="1">
        <v>26698</v>
      </c>
      <c r="G212" s="1">
        <v>640752</v>
      </c>
      <c r="H212" s="1">
        <v>495820</v>
      </c>
    </row>
    <row r="213" spans="2:8" x14ac:dyDescent="0.25">
      <c r="B213" s="12">
        <v>671</v>
      </c>
      <c r="C213" s="1">
        <v>260</v>
      </c>
      <c r="D213" s="1">
        <v>15</v>
      </c>
      <c r="E213" s="1">
        <v>10065</v>
      </c>
      <c r="F213" s="1">
        <v>402.6</v>
      </c>
      <c r="G213" s="1">
        <v>9662.4</v>
      </c>
      <c r="H213" s="1">
        <v>6710</v>
      </c>
    </row>
    <row r="214" spans="2:8" x14ac:dyDescent="0.25">
      <c r="B214" s="12">
        <v>1778</v>
      </c>
      <c r="C214" s="1">
        <v>260</v>
      </c>
      <c r="D214" s="1">
        <v>350</v>
      </c>
      <c r="E214" s="1">
        <v>622300</v>
      </c>
      <c r="F214" s="1">
        <v>24892</v>
      </c>
      <c r="G214" s="1">
        <v>597408</v>
      </c>
      <c r="H214" s="1">
        <v>462280</v>
      </c>
    </row>
    <row r="215" spans="2:8" x14ac:dyDescent="0.25">
      <c r="B215" s="12">
        <v>1159</v>
      </c>
      <c r="C215" s="1">
        <v>5</v>
      </c>
      <c r="D215" s="1">
        <v>7</v>
      </c>
      <c r="E215" s="1">
        <v>8113</v>
      </c>
      <c r="F215" s="1">
        <v>405.65</v>
      </c>
      <c r="G215" s="1">
        <v>7707.35</v>
      </c>
      <c r="H215" s="1">
        <v>5795</v>
      </c>
    </row>
    <row r="216" spans="2:8" x14ac:dyDescent="0.25">
      <c r="B216" s="12">
        <v>1372</v>
      </c>
      <c r="C216" s="1">
        <v>10</v>
      </c>
      <c r="D216" s="1">
        <v>7</v>
      </c>
      <c r="E216" s="1">
        <v>9604</v>
      </c>
      <c r="F216" s="1">
        <v>480.2</v>
      </c>
      <c r="G216" s="1">
        <v>9123.7999999999993</v>
      </c>
      <c r="H216" s="1">
        <v>6860</v>
      </c>
    </row>
    <row r="217" spans="2:8" x14ac:dyDescent="0.25">
      <c r="B217" s="12">
        <v>2349</v>
      </c>
      <c r="C217" s="1">
        <v>10</v>
      </c>
      <c r="D217" s="1">
        <v>7</v>
      </c>
      <c r="E217" s="1">
        <v>16443</v>
      </c>
      <c r="F217" s="1">
        <v>822.15</v>
      </c>
      <c r="G217" s="1">
        <v>15620.85</v>
      </c>
      <c r="H217" s="1">
        <v>11745</v>
      </c>
    </row>
    <row r="218" spans="2:8" x14ac:dyDescent="0.25">
      <c r="B218" s="12">
        <v>2689</v>
      </c>
      <c r="C218" s="1">
        <v>10</v>
      </c>
      <c r="D218" s="1">
        <v>7</v>
      </c>
      <c r="E218" s="1">
        <v>18823</v>
      </c>
      <c r="F218" s="1">
        <v>941.15</v>
      </c>
      <c r="G218" s="1">
        <v>17881.849999999999</v>
      </c>
      <c r="H218" s="1">
        <v>13445</v>
      </c>
    </row>
    <row r="219" spans="2:8" x14ac:dyDescent="0.25">
      <c r="B219" s="12">
        <v>2431</v>
      </c>
      <c r="C219" s="1">
        <v>10</v>
      </c>
      <c r="D219" s="1">
        <v>12</v>
      </c>
      <c r="E219" s="1">
        <v>29172</v>
      </c>
      <c r="F219" s="1">
        <v>1458.6</v>
      </c>
      <c r="G219" s="1">
        <v>27713.4</v>
      </c>
      <c r="H219" s="1">
        <v>7293</v>
      </c>
    </row>
    <row r="220" spans="2:8" x14ac:dyDescent="0.25">
      <c r="B220" s="12">
        <v>2431</v>
      </c>
      <c r="C220" s="1">
        <v>120</v>
      </c>
      <c r="D220" s="1">
        <v>12</v>
      </c>
      <c r="E220" s="1">
        <v>29172</v>
      </c>
      <c r="F220" s="1">
        <v>1458.6</v>
      </c>
      <c r="G220" s="1">
        <v>27713.4</v>
      </c>
      <c r="H220" s="1">
        <v>7293</v>
      </c>
    </row>
    <row r="221" spans="2:8" x14ac:dyDescent="0.25">
      <c r="B221" s="12">
        <v>2689</v>
      </c>
      <c r="C221" s="1">
        <v>250</v>
      </c>
      <c r="D221" s="1">
        <v>7</v>
      </c>
      <c r="E221" s="1">
        <v>18823</v>
      </c>
      <c r="F221" s="1">
        <v>941.15</v>
      </c>
      <c r="G221" s="1">
        <v>17881.849999999999</v>
      </c>
      <c r="H221" s="1">
        <v>13445</v>
      </c>
    </row>
    <row r="222" spans="2:8" x14ac:dyDescent="0.25">
      <c r="B222" s="12">
        <v>1683</v>
      </c>
      <c r="C222" s="1">
        <v>260</v>
      </c>
      <c r="D222" s="1">
        <v>7</v>
      </c>
      <c r="E222" s="1">
        <v>11781</v>
      </c>
      <c r="F222" s="1">
        <v>589.04999999999995</v>
      </c>
      <c r="G222" s="1">
        <v>11191.95</v>
      </c>
      <c r="H222" s="1">
        <v>8415</v>
      </c>
    </row>
    <row r="223" spans="2:8" x14ac:dyDescent="0.25">
      <c r="B223" s="12">
        <v>1123</v>
      </c>
      <c r="C223" s="1">
        <v>260</v>
      </c>
      <c r="D223" s="1">
        <v>12</v>
      </c>
      <c r="E223" s="1">
        <v>13476</v>
      </c>
      <c r="F223" s="1">
        <v>673.8</v>
      </c>
      <c r="G223" s="1">
        <v>12802.2</v>
      </c>
      <c r="H223" s="1">
        <v>3369</v>
      </c>
    </row>
    <row r="224" spans="2:8" x14ac:dyDescent="0.25">
      <c r="B224" s="12">
        <v>1159</v>
      </c>
      <c r="C224" s="1">
        <v>260</v>
      </c>
      <c r="D224" s="1">
        <v>7</v>
      </c>
      <c r="E224" s="1">
        <v>8113</v>
      </c>
      <c r="F224" s="1">
        <v>405.65</v>
      </c>
      <c r="G224" s="1">
        <v>7707.35</v>
      </c>
      <c r="H224" s="1">
        <v>5795</v>
      </c>
    </row>
    <row r="225" spans="2:8" x14ac:dyDescent="0.25">
      <c r="B225" s="12">
        <v>1865</v>
      </c>
      <c r="C225" s="1">
        <v>3</v>
      </c>
      <c r="D225" s="1">
        <v>12</v>
      </c>
      <c r="E225" s="1">
        <v>22380</v>
      </c>
      <c r="F225" s="1">
        <v>1119</v>
      </c>
      <c r="G225" s="1">
        <v>21261</v>
      </c>
      <c r="H225" s="1">
        <v>5595</v>
      </c>
    </row>
    <row r="226" spans="2:8" x14ac:dyDescent="0.25">
      <c r="B226" s="12">
        <v>1116</v>
      </c>
      <c r="C226" s="1">
        <v>3</v>
      </c>
      <c r="D226" s="1">
        <v>12</v>
      </c>
      <c r="E226" s="1">
        <v>13392</v>
      </c>
      <c r="F226" s="1">
        <v>669.6</v>
      </c>
      <c r="G226" s="1">
        <v>12722.4</v>
      </c>
      <c r="H226" s="1">
        <v>3348</v>
      </c>
    </row>
    <row r="227" spans="2:8" x14ac:dyDescent="0.25">
      <c r="B227" s="12">
        <v>1563</v>
      </c>
      <c r="C227" s="1">
        <v>3</v>
      </c>
      <c r="D227" s="1">
        <v>20</v>
      </c>
      <c r="E227" s="1">
        <v>31260</v>
      </c>
      <c r="F227" s="1">
        <v>1563</v>
      </c>
      <c r="G227" s="1">
        <v>29697</v>
      </c>
      <c r="H227" s="1">
        <v>15630</v>
      </c>
    </row>
    <row r="228" spans="2:8" x14ac:dyDescent="0.25">
      <c r="B228" s="12">
        <v>991</v>
      </c>
      <c r="C228" s="1">
        <v>3</v>
      </c>
      <c r="D228" s="1">
        <v>300</v>
      </c>
      <c r="E228" s="1">
        <v>297300</v>
      </c>
      <c r="F228" s="1">
        <v>14865</v>
      </c>
      <c r="G228" s="1">
        <v>282435</v>
      </c>
      <c r="H228" s="1">
        <v>247750</v>
      </c>
    </row>
    <row r="229" spans="2:8" x14ac:dyDescent="0.25">
      <c r="B229" s="12">
        <v>1016</v>
      </c>
      <c r="C229" s="1">
        <v>3</v>
      </c>
      <c r="D229" s="1">
        <v>7</v>
      </c>
      <c r="E229" s="1">
        <v>7112</v>
      </c>
      <c r="F229" s="1">
        <v>355.6</v>
      </c>
      <c r="G229" s="1">
        <v>6756.4</v>
      </c>
      <c r="H229" s="1">
        <v>5080</v>
      </c>
    </row>
    <row r="230" spans="2:8" x14ac:dyDescent="0.25">
      <c r="B230" s="12">
        <v>2791</v>
      </c>
      <c r="C230" s="1">
        <v>3</v>
      </c>
      <c r="D230" s="1">
        <v>15</v>
      </c>
      <c r="E230" s="1">
        <v>41865</v>
      </c>
      <c r="F230" s="1">
        <v>2093.25</v>
      </c>
      <c r="G230" s="1">
        <v>39771.75</v>
      </c>
      <c r="H230" s="1">
        <v>27910</v>
      </c>
    </row>
    <row r="231" spans="2:8" x14ac:dyDescent="0.25">
      <c r="B231" s="12">
        <v>570</v>
      </c>
      <c r="C231" s="1">
        <v>3</v>
      </c>
      <c r="D231" s="1">
        <v>7</v>
      </c>
      <c r="E231" s="1">
        <v>3990</v>
      </c>
      <c r="F231" s="1">
        <v>199.5</v>
      </c>
      <c r="G231" s="1">
        <v>3790.5</v>
      </c>
      <c r="H231" s="1">
        <v>2850</v>
      </c>
    </row>
    <row r="232" spans="2:8" x14ac:dyDescent="0.25">
      <c r="B232" s="12">
        <v>2487</v>
      </c>
      <c r="C232" s="1">
        <v>3</v>
      </c>
      <c r="D232" s="1">
        <v>7</v>
      </c>
      <c r="E232" s="1">
        <v>17409</v>
      </c>
      <c r="F232" s="1">
        <v>870.45</v>
      </c>
      <c r="G232" s="1">
        <v>16538.55</v>
      </c>
      <c r="H232" s="1">
        <v>12435</v>
      </c>
    </row>
    <row r="233" spans="2:8" x14ac:dyDescent="0.25">
      <c r="B233" s="12">
        <v>1384.5</v>
      </c>
      <c r="C233" s="1">
        <v>5</v>
      </c>
      <c r="D233" s="1">
        <v>350</v>
      </c>
      <c r="E233" s="1">
        <v>484575</v>
      </c>
      <c r="F233" s="1">
        <v>24228.75</v>
      </c>
      <c r="G233" s="1">
        <v>460346.25</v>
      </c>
      <c r="H233" s="1">
        <v>359970</v>
      </c>
    </row>
    <row r="234" spans="2:8" x14ac:dyDescent="0.25">
      <c r="B234" s="12">
        <v>3627</v>
      </c>
      <c r="C234" s="1">
        <v>5</v>
      </c>
      <c r="D234" s="1">
        <v>125</v>
      </c>
      <c r="E234" s="1">
        <v>453375</v>
      </c>
      <c r="F234" s="1">
        <v>22668.75</v>
      </c>
      <c r="G234" s="1">
        <v>430706.25</v>
      </c>
      <c r="H234" s="1">
        <v>435240</v>
      </c>
    </row>
    <row r="235" spans="2:8" x14ac:dyDescent="0.25">
      <c r="B235" s="12">
        <v>720</v>
      </c>
      <c r="C235" s="1">
        <v>5</v>
      </c>
      <c r="D235" s="1">
        <v>350</v>
      </c>
      <c r="E235" s="1">
        <v>252000</v>
      </c>
      <c r="F235" s="1">
        <v>12600</v>
      </c>
      <c r="G235" s="1">
        <v>239400</v>
      </c>
      <c r="H235" s="1">
        <v>187200</v>
      </c>
    </row>
    <row r="236" spans="2:8" x14ac:dyDescent="0.25">
      <c r="B236" s="12">
        <v>2342</v>
      </c>
      <c r="C236" s="1">
        <v>5</v>
      </c>
      <c r="D236" s="1">
        <v>12</v>
      </c>
      <c r="E236" s="1">
        <v>28104</v>
      </c>
      <c r="F236" s="1">
        <v>1405.2</v>
      </c>
      <c r="G236" s="1">
        <v>26698.799999999999</v>
      </c>
      <c r="H236" s="1">
        <v>7026</v>
      </c>
    </row>
    <row r="237" spans="2:8" x14ac:dyDescent="0.25">
      <c r="B237" s="12">
        <v>1100</v>
      </c>
      <c r="C237" s="1">
        <v>5</v>
      </c>
      <c r="D237" s="1">
        <v>300</v>
      </c>
      <c r="E237" s="1">
        <v>330000</v>
      </c>
      <c r="F237" s="1">
        <v>16500</v>
      </c>
      <c r="G237" s="1">
        <v>313500</v>
      </c>
      <c r="H237" s="1">
        <v>275000</v>
      </c>
    </row>
    <row r="238" spans="2:8" x14ac:dyDescent="0.25">
      <c r="B238" s="12">
        <v>1303</v>
      </c>
      <c r="C238" s="1">
        <v>10</v>
      </c>
      <c r="D238" s="1">
        <v>20</v>
      </c>
      <c r="E238" s="1">
        <v>26060</v>
      </c>
      <c r="F238" s="1">
        <v>1303</v>
      </c>
      <c r="G238" s="1">
        <v>24757</v>
      </c>
      <c r="H238" s="1">
        <v>13030</v>
      </c>
    </row>
    <row r="239" spans="2:8" x14ac:dyDescent="0.25">
      <c r="B239" s="12">
        <v>2992</v>
      </c>
      <c r="C239" s="1">
        <v>10</v>
      </c>
      <c r="D239" s="1">
        <v>125</v>
      </c>
      <c r="E239" s="1">
        <v>374000</v>
      </c>
      <c r="F239" s="1">
        <v>18700</v>
      </c>
      <c r="G239" s="1">
        <v>355300</v>
      </c>
      <c r="H239" s="1">
        <v>359040</v>
      </c>
    </row>
    <row r="240" spans="2:8" x14ac:dyDescent="0.25">
      <c r="B240" s="12">
        <v>2385</v>
      </c>
      <c r="C240" s="1">
        <v>10</v>
      </c>
      <c r="D240" s="1">
        <v>125</v>
      </c>
      <c r="E240" s="1">
        <v>298125</v>
      </c>
      <c r="F240" s="1">
        <v>14906.25</v>
      </c>
      <c r="G240" s="1">
        <v>283218.75</v>
      </c>
      <c r="H240" s="1">
        <v>286200</v>
      </c>
    </row>
    <row r="241" spans="2:8" x14ac:dyDescent="0.25">
      <c r="B241" s="12">
        <v>1607</v>
      </c>
      <c r="C241" s="1">
        <v>10</v>
      </c>
      <c r="D241" s="1">
        <v>300</v>
      </c>
      <c r="E241" s="1">
        <v>482100</v>
      </c>
      <c r="F241" s="1">
        <v>24105</v>
      </c>
      <c r="G241" s="1">
        <v>457995</v>
      </c>
      <c r="H241" s="1">
        <v>401750</v>
      </c>
    </row>
    <row r="242" spans="2:8" x14ac:dyDescent="0.25">
      <c r="B242" s="12">
        <v>2327</v>
      </c>
      <c r="C242" s="1">
        <v>10</v>
      </c>
      <c r="D242" s="1">
        <v>7</v>
      </c>
      <c r="E242" s="1">
        <v>16289</v>
      </c>
      <c r="F242" s="1">
        <v>814.45</v>
      </c>
      <c r="G242" s="1">
        <v>15474.55</v>
      </c>
      <c r="H242" s="1">
        <v>11635</v>
      </c>
    </row>
    <row r="243" spans="2:8" x14ac:dyDescent="0.25">
      <c r="B243" s="12">
        <v>991</v>
      </c>
      <c r="C243" s="1">
        <v>10</v>
      </c>
      <c r="D243" s="1">
        <v>300</v>
      </c>
      <c r="E243" s="1">
        <v>297300</v>
      </c>
      <c r="F243" s="1">
        <v>14865</v>
      </c>
      <c r="G243" s="1">
        <v>282435</v>
      </c>
      <c r="H243" s="1">
        <v>247750</v>
      </c>
    </row>
    <row r="244" spans="2:8" x14ac:dyDescent="0.25">
      <c r="B244" s="12">
        <v>602</v>
      </c>
      <c r="C244" s="1">
        <v>10</v>
      </c>
      <c r="D244" s="1">
        <v>350</v>
      </c>
      <c r="E244" s="1">
        <v>210700</v>
      </c>
      <c r="F244" s="1">
        <v>10535</v>
      </c>
      <c r="G244" s="1">
        <v>200165</v>
      </c>
      <c r="H244" s="1">
        <v>156520</v>
      </c>
    </row>
    <row r="245" spans="2:8" x14ac:dyDescent="0.25">
      <c r="B245" s="12">
        <v>2620</v>
      </c>
      <c r="C245" s="1">
        <v>10</v>
      </c>
      <c r="D245" s="1">
        <v>15</v>
      </c>
      <c r="E245" s="1">
        <v>39300</v>
      </c>
      <c r="F245" s="1">
        <v>1965</v>
      </c>
      <c r="G245" s="1">
        <v>37335</v>
      </c>
      <c r="H245" s="1">
        <v>26200</v>
      </c>
    </row>
    <row r="246" spans="2:8" x14ac:dyDescent="0.25">
      <c r="B246" s="12">
        <v>1228</v>
      </c>
      <c r="C246" s="1">
        <v>10</v>
      </c>
      <c r="D246" s="1">
        <v>350</v>
      </c>
      <c r="E246" s="1">
        <v>429800</v>
      </c>
      <c r="F246" s="1">
        <v>21490</v>
      </c>
      <c r="G246" s="1">
        <v>408310</v>
      </c>
      <c r="H246" s="1">
        <v>319280</v>
      </c>
    </row>
    <row r="247" spans="2:8" x14ac:dyDescent="0.25">
      <c r="B247" s="12">
        <v>1389</v>
      </c>
      <c r="C247" s="1">
        <v>10</v>
      </c>
      <c r="D247" s="1">
        <v>20</v>
      </c>
      <c r="E247" s="1">
        <v>27780</v>
      </c>
      <c r="F247" s="1">
        <v>1389</v>
      </c>
      <c r="G247" s="1">
        <v>26391</v>
      </c>
      <c r="H247" s="1">
        <v>13890</v>
      </c>
    </row>
    <row r="248" spans="2:8" x14ac:dyDescent="0.25">
      <c r="B248" s="12">
        <v>861</v>
      </c>
      <c r="C248" s="1">
        <v>10</v>
      </c>
      <c r="D248" s="1">
        <v>125</v>
      </c>
      <c r="E248" s="1">
        <v>107625</v>
      </c>
      <c r="F248" s="1">
        <v>5381.25</v>
      </c>
      <c r="G248" s="1">
        <v>102243.75</v>
      </c>
      <c r="H248" s="1">
        <v>103320</v>
      </c>
    </row>
    <row r="249" spans="2:8" x14ac:dyDescent="0.25">
      <c r="B249" s="12">
        <v>704</v>
      </c>
      <c r="C249" s="1">
        <v>10</v>
      </c>
      <c r="D249" s="1">
        <v>125</v>
      </c>
      <c r="E249" s="1">
        <v>88000</v>
      </c>
      <c r="F249" s="1">
        <v>4400</v>
      </c>
      <c r="G249" s="1">
        <v>83600</v>
      </c>
      <c r="H249" s="1">
        <v>84480</v>
      </c>
    </row>
    <row r="250" spans="2:8" x14ac:dyDescent="0.25">
      <c r="B250" s="12">
        <v>1802</v>
      </c>
      <c r="C250" s="1">
        <v>10</v>
      </c>
      <c r="D250" s="1">
        <v>20</v>
      </c>
      <c r="E250" s="1">
        <v>36040</v>
      </c>
      <c r="F250" s="1">
        <v>1802</v>
      </c>
      <c r="G250" s="1">
        <v>34238</v>
      </c>
      <c r="H250" s="1">
        <v>18020</v>
      </c>
    </row>
    <row r="251" spans="2:8" x14ac:dyDescent="0.25">
      <c r="B251" s="12">
        <v>2663</v>
      </c>
      <c r="C251" s="1">
        <v>10</v>
      </c>
      <c r="D251" s="1">
        <v>20</v>
      </c>
      <c r="E251" s="1">
        <v>53260</v>
      </c>
      <c r="F251" s="1">
        <v>2663</v>
      </c>
      <c r="G251" s="1">
        <v>50597</v>
      </c>
      <c r="H251" s="1">
        <v>26630</v>
      </c>
    </row>
    <row r="252" spans="2:8" x14ac:dyDescent="0.25">
      <c r="B252" s="12">
        <v>2136</v>
      </c>
      <c r="C252" s="1">
        <v>10</v>
      </c>
      <c r="D252" s="1">
        <v>7</v>
      </c>
      <c r="E252" s="1">
        <v>14952</v>
      </c>
      <c r="F252" s="1">
        <v>747.6</v>
      </c>
      <c r="G252" s="1">
        <v>14204.4</v>
      </c>
      <c r="H252" s="1">
        <v>10680</v>
      </c>
    </row>
    <row r="253" spans="2:8" x14ac:dyDescent="0.25">
      <c r="B253" s="12">
        <v>2116</v>
      </c>
      <c r="C253" s="1">
        <v>10</v>
      </c>
      <c r="D253" s="1">
        <v>15</v>
      </c>
      <c r="E253" s="1">
        <v>31740</v>
      </c>
      <c r="F253" s="1">
        <v>1587</v>
      </c>
      <c r="G253" s="1">
        <v>30153</v>
      </c>
      <c r="H253" s="1">
        <v>21160</v>
      </c>
    </row>
    <row r="254" spans="2:8" x14ac:dyDescent="0.25">
      <c r="B254" s="12">
        <v>555</v>
      </c>
      <c r="C254" s="1">
        <v>120</v>
      </c>
      <c r="D254" s="1">
        <v>15</v>
      </c>
      <c r="E254" s="1">
        <v>8325</v>
      </c>
      <c r="F254" s="1">
        <v>416.25</v>
      </c>
      <c r="G254" s="1">
        <v>7908.75</v>
      </c>
      <c r="H254" s="1">
        <v>5550</v>
      </c>
    </row>
    <row r="255" spans="2:8" x14ac:dyDescent="0.25">
      <c r="B255" s="12">
        <v>2861</v>
      </c>
      <c r="C255" s="1">
        <v>120</v>
      </c>
      <c r="D255" s="1">
        <v>15</v>
      </c>
      <c r="E255" s="1">
        <v>42915</v>
      </c>
      <c r="F255" s="1">
        <v>2145.75</v>
      </c>
      <c r="G255" s="1">
        <v>40769.25</v>
      </c>
      <c r="H255" s="1">
        <v>28610</v>
      </c>
    </row>
    <row r="256" spans="2:8" x14ac:dyDescent="0.25">
      <c r="B256" s="12">
        <v>807</v>
      </c>
      <c r="C256" s="1">
        <v>120</v>
      </c>
      <c r="D256" s="1">
        <v>125</v>
      </c>
      <c r="E256" s="1">
        <v>100875</v>
      </c>
      <c r="F256" s="1">
        <v>5043.75</v>
      </c>
      <c r="G256" s="1">
        <v>95831.25</v>
      </c>
      <c r="H256" s="1">
        <v>96840</v>
      </c>
    </row>
    <row r="257" spans="2:8" x14ac:dyDescent="0.25">
      <c r="B257" s="12">
        <v>602</v>
      </c>
      <c r="C257" s="1">
        <v>120</v>
      </c>
      <c r="D257" s="1">
        <v>350</v>
      </c>
      <c r="E257" s="1">
        <v>210700</v>
      </c>
      <c r="F257" s="1">
        <v>10535</v>
      </c>
      <c r="G257" s="1">
        <v>200165</v>
      </c>
      <c r="H257" s="1">
        <v>156520</v>
      </c>
    </row>
    <row r="258" spans="2:8" x14ac:dyDescent="0.25">
      <c r="B258" s="12">
        <v>2832</v>
      </c>
      <c r="C258" s="1">
        <v>120</v>
      </c>
      <c r="D258" s="1">
        <v>20</v>
      </c>
      <c r="E258" s="1">
        <v>56640</v>
      </c>
      <c r="F258" s="1">
        <v>2832</v>
      </c>
      <c r="G258" s="1">
        <v>53808</v>
      </c>
      <c r="H258" s="1">
        <v>28320</v>
      </c>
    </row>
    <row r="259" spans="2:8" x14ac:dyDescent="0.25">
      <c r="B259" s="12">
        <v>1579</v>
      </c>
      <c r="C259" s="1">
        <v>120</v>
      </c>
      <c r="D259" s="1">
        <v>20</v>
      </c>
      <c r="E259" s="1">
        <v>31580</v>
      </c>
      <c r="F259" s="1">
        <v>1579</v>
      </c>
      <c r="G259" s="1">
        <v>30001</v>
      </c>
      <c r="H259" s="1">
        <v>15790</v>
      </c>
    </row>
    <row r="260" spans="2:8" x14ac:dyDescent="0.25">
      <c r="B260" s="12">
        <v>861</v>
      </c>
      <c r="C260" s="1">
        <v>120</v>
      </c>
      <c r="D260" s="1">
        <v>125</v>
      </c>
      <c r="E260" s="1">
        <v>107625</v>
      </c>
      <c r="F260" s="1">
        <v>5381.25</v>
      </c>
      <c r="G260" s="1">
        <v>102243.75</v>
      </c>
      <c r="H260" s="1">
        <v>103320</v>
      </c>
    </row>
    <row r="261" spans="2:8" x14ac:dyDescent="0.25">
      <c r="B261" s="12">
        <v>704</v>
      </c>
      <c r="C261" s="1">
        <v>120</v>
      </c>
      <c r="D261" s="1">
        <v>125</v>
      </c>
      <c r="E261" s="1">
        <v>88000</v>
      </c>
      <c r="F261" s="1">
        <v>4400</v>
      </c>
      <c r="G261" s="1">
        <v>83600</v>
      </c>
      <c r="H261" s="1">
        <v>84480</v>
      </c>
    </row>
    <row r="262" spans="2:8" x14ac:dyDescent="0.25">
      <c r="B262" s="12">
        <v>1033</v>
      </c>
      <c r="C262" s="1">
        <v>120</v>
      </c>
      <c r="D262" s="1">
        <v>20</v>
      </c>
      <c r="E262" s="1">
        <v>20660</v>
      </c>
      <c r="F262" s="1">
        <v>1033</v>
      </c>
      <c r="G262" s="1">
        <v>19627</v>
      </c>
      <c r="H262" s="1">
        <v>10330</v>
      </c>
    </row>
    <row r="263" spans="2:8" x14ac:dyDescent="0.25">
      <c r="B263" s="12">
        <v>1250</v>
      </c>
      <c r="C263" s="1">
        <v>120</v>
      </c>
      <c r="D263" s="1">
        <v>300</v>
      </c>
      <c r="E263" s="1">
        <v>375000</v>
      </c>
      <c r="F263" s="1">
        <v>18750</v>
      </c>
      <c r="G263" s="1">
        <v>356250</v>
      </c>
      <c r="H263" s="1">
        <v>312500</v>
      </c>
    </row>
    <row r="264" spans="2:8" x14ac:dyDescent="0.25">
      <c r="B264" s="12">
        <v>1389</v>
      </c>
      <c r="C264" s="1">
        <v>250</v>
      </c>
      <c r="D264" s="1">
        <v>20</v>
      </c>
      <c r="E264" s="1">
        <v>27780</v>
      </c>
      <c r="F264" s="1">
        <v>1389</v>
      </c>
      <c r="G264" s="1">
        <v>26391</v>
      </c>
      <c r="H264" s="1">
        <v>13890</v>
      </c>
    </row>
    <row r="265" spans="2:8" x14ac:dyDescent="0.25">
      <c r="B265" s="12">
        <v>1265</v>
      </c>
      <c r="C265" s="1">
        <v>250</v>
      </c>
      <c r="D265" s="1">
        <v>20</v>
      </c>
      <c r="E265" s="1">
        <v>25300</v>
      </c>
      <c r="F265" s="1">
        <v>1265</v>
      </c>
      <c r="G265" s="1">
        <v>24035</v>
      </c>
      <c r="H265" s="1">
        <v>12650</v>
      </c>
    </row>
    <row r="266" spans="2:8" x14ac:dyDescent="0.25">
      <c r="B266" s="12">
        <v>2297</v>
      </c>
      <c r="C266" s="1">
        <v>250</v>
      </c>
      <c r="D266" s="1">
        <v>20</v>
      </c>
      <c r="E266" s="1">
        <v>45940</v>
      </c>
      <c r="F266" s="1">
        <v>2297</v>
      </c>
      <c r="G266" s="1">
        <v>43643</v>
      </c>
      <c r="H266" s="1">
        <v>22970</v>
      </c>
    </row>
    <row r="267" spans="2:8" x14ac:dyDescent="0.25">
      <c r="B267" s="12">
        <v>2663</v>
      </c>
      <c r="C267" s="1">
        <v>250</v>
      </c>
      <c r="D267" s="1">
        <v>20</v>
      </c>
      <c r="E267" s="1">
        <v>53260</v>
      </c>
      <c r="F267" s="1">
        <v>2663</v>
      </c>
      <c r="G267" s="1">
        <v>50597</v>
      </c>
      <c r="H267" s="1">
        <v>26630</v>
      </c>
    </row>
    <row r="268" spans="2:8" x14ac:dyDescent="0.25">
      <c r="B268" s="12">
        <v>570</v>
      </c>
      <c r="C268" s="1">
        <v>250</v>
      </c>
      <c r="D268" s="1">
        <v>7</v>
      </c>
      <c r="E268" s="1">
        <v>3990</v>
      </c>
      <c r="F268" s="1">
        <v>199.5</v>
      </c>
      <c r="G268" s="1">
        <v>3790.5</v>
      </c>
      <c r="H268" s="1">
        <v>2850</v>
      </c>
    </row>
    <row r="269" spans="2:8" x14ac:dyDescent="0.25">
      <c r="B269" s="12">
        <v>2487</v>
      </c>
      <c r="C269" s="1">
        <v>250</v>
      </c>
      <c r="D269" s="1">
        <v>7</v>
      </c>
      <c r="E269" s="1">
        <v>17409</v>
      </c>
      <c r="F269" s="1">
        <v>870.45</v>
      </c>
      <c r="G269" s="1">
        <v>16538.55</v>
      </c>
      <c r="H269" s="1">
        <v>12435</v>
      </c>
    </row>
    <row r="270" spans="2:8" x14ac:dyDescent="0.25">
      <c r="B270" s="12">
        <v>1350</v>
      </c>
      <c r="C270" s="1">
        <v>260</v>
      </c>
      <c r="D270" s="1">
        <v>350</v>
      </c>
      <c r="E270" s="1">
        <v>472500</v>
      </c>
      <c r="F270" s="1">
        <v>23625</v>
      </c>
      <c r="G270" s="1">
        <v>448875</v>
      </c>
      <c r="H270" s="1">
        <v>351000</v>
      </c>
    </row>
    <row r="271" spans="2:8" x14ac:dyDescent="0.25">
      <c r="B271" s="12">
        <v>552</v>
      </c>
      <c r="C271" s="1">
        <v>260</v>
      </c>
      <c r="D271" s="1">
        <v>350</v>
      </c>
      <c r="E271" s="1">
        <v>193200</v>
      </c>
      <c r="F271" s="1">
        <v>9660</v>
      </c>
      <c r="G271" s="1">
        <v>183540</v>
      </c>
      <c r="H271" s="1">
        <v>143520</v>
      </c>
    </row>
    <row r="272" spans="2:8" x14ac:dyDescent="0.25">
      <c r="B272" s="12">
        <v>1228</v>
      </c>
      <c r="C272" s="1">
        <v>260</v>
      </c>
      <c r="D272" s="1">
        <v>350</v>
      </c>
      <c r="E272" s="1">
        <v>429800</v>
      </c>
      <c r="F272" s="1">
        <v>21490</v>
      </c>
      <c r="G272" s="1">
        <v>408310</v>
      </c>
      <c r="H272" s="1">
        <v>319280</v>
      </c>
    </row>
    <row r="273" spans="2:8" x14ac:dyDescent="0.25">
      <c r="B273" s="12">
        <v>1250</v>
      </c>
      <c r="C273" s="1">
        <v>260</v>
      </c>
      <c r="D273" s="1">
        <v>300</v>
      </c>
      <c r="E273" s="1">
        <v>375000</v>
      </c>
      <c r="F273" s="1">
        <v>18750</v>
      </c>
      <c r="G273" s="1">
        <v>356250</v>
      </c>
      <c r="H273" s="1">
        <v>312500</v>
      </c>
    </row>
    <row r="274" spans="2:8" x14ac:dyDescent="0.25">
      <c r="B274" s="12">
        <v>3801</v>
      </c>
      <c r="C274" s="1">
        <v>10</v>
      </c>
      <c r="D274" s="1">
        <v>15</v>
      </c>
      <c r="E274" s="1">
        <v>57015</v>
      </c>
      <c r="F274" s="1">
        <v>3420.8999999999996</v>
      </c>
      <c r="G274" s="1">
        <v>53594.100000000006</v>
      </c>
      <c r="H274" s="1">
        <v>38010</v>
      </c>
    </row>
    <row r="275" spans="2:8" x14ac:dyDescent="0.25">
      <c r="B275" s="12">
        <v>1117.5</v>
      </c>
      <c r="C275" s="1">
        <v>3</v>
      </c>
      <c r="D275" s="1">
        <v>20</v>
      </c>
      <c r="E275" s="1">
        <v>22350</v>
      </c>
      <c r="F275" s="1">
        <v>1341</v>
      </c>
      <c r="G275" s="1">
        <v>21009</v>
      </c>
      <c r="H275" s="1">
        <v>11175</v>
      </c>
    </row>
    <row r="276" spans="2:8" x14ac:dyDescent="0.25">
      <c r="B276" s="12">
        <v>2844</v>
      </c>
      <c r="C276" s="1">
        <v>3</v>
      </c>
      <c r="D276" s="1">
        <v>15</v>
      </c>
      <c r="E276" s="1">
        <v>42660</v>
      </c>
      <c r="F276" s="1">
        <v>2559.6</v>
      </c>
      <c r="G276" s="1">
        <v>40100.400000000001</v>
      </c>
      <c r="H276" s="1">
        <v>28440</v>
      </c>
    </row>
    <row r="277" spans="2:8" x14ac:dyDescent="0.25">
      <c r="B277" s="12">
        <v>562</v>
      </c>
      <c r="C277" s="1">
        <v>3</v>
      </c>
      <c r="D277" s="1">
        <v>12</v>
      </c>
      <c r="E277" s="1">
        <v>6744</v>
      </c>
      <c r="F277" s="1">
        <v>404.64</v>
      </c>
      <c r="G277" s="1">
        <v>6339.36</v>
      </c>
      <c r="H277" s="1">
        <v>1686</v>
      </c>
    </row>
    <row r="278" spans="2:8" x14ac:dyDescent="0.25">
      <c r="B278" s="12">
        <v>2299</v>
      </c>
      <c r="C278" s="1">
        <v>3</v>
      </c>
      <c r="D278" s="1">
        <v>12</v>
      </c>
      <c r="E278" s="1">
        <v>27588</v>
      </c>
      <c r="F278" s="1">
        <v>1655.28</v>
      </c>
      <c r="G278" s="1">
        <v>25932.720000000001</v>
      </c>
      <c r="H278" s="1">
        <v>6897</v>
      </c>
    </row>
    <row r="279" spans="2:8" x14ac:dyDescent="0.25">
      <c r="B279" s="12">
        <v>2030</v>
      </c>
      <c r="C279" s="1">
        <v>3</v>
      </c>
      <c r="D279" s="1">
        <v>15</v>
      </c>
      <c r="E279" s="1">
        <v>30450</v>
      </c>
      <c r="F279" s="1">
        <v>1827</v>
      </c>
      <c r="G279" s="1">
        <v>28623</v>
      </c>
      <c r="H279" s="1">
        <v>20300</v>
      </c>
    </row>
    <row r="280" spans="2:8" x14ac:dyDescent="0.25">
      <c r="B280" s="12">
        <v>263</v>
      </c>
      <c r="C280" s="1">
        <v>3</v>
      </c>
      <c r="D280" s="1">
        <v>7</v>
      </c>
      <c r="E280" s="1">
        <v>1841</v>
      </c>
      <c r="F280" s="1">
        <v>110.46</v>
      </c>
      <c r="G280" s="1">
        <v>1730.54</v>
      </c>
      <c r="H280" s="1">
        <v>1315</v>
      </c>
    </row>
    <row r="281" spans="2:8" x14ac:dyDescent="0.25">
      <c r="B281" s="12">
        <v>887</v>
      </c>
      <c r="C281" s="1">
        <v>3</v>
      </c>
      <c r="D281" s="1">
        <v>125</v>
      </c>
      <c r="E281" s="1">
        <v>110875</v>
      </c>
      <c r="F281" s="1">
        <v>6652.5</v>
      </c>
      <c r="G281" s="1">
        <v>104222.5</v>
      </c>
      <c r="H281" s="1">
        <v>106440</v>
      </c>
    </row>
    <row r="282" spans="2:8" x14ac:dyDescent="0.25">
      <c r="B282" s="12">
        <v>980</v>
      </c>
      <c r="C282" s="1">
        <v>5</v>
      </c>
      <c r="D282" s="1">
        <v>350</v>
      </c>
      <c r="E282" s="1">
        <v>343000</v>
      </c>
      <c r="F282" s="1">
        <v>20580</v>
      </c>
      <c r="G282" s="1">
        <v>322420</v>
      </c>
      <c r="H282" s="1">
        <v>254800</v>
      </c>
    </row>
    <row r="283" spans="2:8" x14ac:dyDescent="0.25">
      <c r="B283" s="12">
        <v>1460</v>
      </c>
      <c r="C283" s="1">
        <v>5</v>
      </c>
      <c r="D283" s="1">
        <v>350</v>
      </c>
      <c r="E283" s="1">
        <v>511000</v>
      </c>
      <c r="F283" s="1">
        <v>30660</v>
      </c>
      <c r="G283" s="1">
        <v>480340</v>
      </c>
      <c r="H283" s="1">
        <v>379600</v>
      </c>
    </row>
    <row r="284" spans="2:8" x14ac:dyDescent="0.25">
      <c r="B284" s="12">
        <v>1403</v>
      </c>
      <c r="C284" s="1">
        <v>5</v>
      </c>
      <c r="D284" s="1">
        <v>7</v>
      </c>
      <c r="E284" s="1">
        <v>9821</v>
      </c>
      <c r="F284" s="1">
        <v>589.26</v>
      </c>
      <c r="G284" s="1">
        <v>9231.74</v>
      </c>
      <c r="H284" s="1">
        <v>7015</v>
      </c>
    </row>
    <row r="285" spans="2:8" x14ac:dyDescent="0.25">
      <c r="B285" s="12">
        <v>2723</v>
      </c>
      <c r="C285" s="1">
        <v>5</v>
      </c>
      <c r="D285" s="1">
        <v>12</v>
      </c>
      <c r="E285" s="1">
        <v>32676</v>
      </c>
      <c r="F285" s="1">
        <v>1960.56</v>
      </c>
      <c r="G285" s="1">
        <v>30715.439999999999</v>
      </c>
      <c r="H285" s="1">
        <v>8169</v>
      </c>
    </row>
    <row r="286" spans="2:8" x14ac:dyDescent="0.25">
      <c r="B286" s="12">
        <v>1496</v>
      </c>
      <c r="C286" s="1">
        <v>10</v>
      </c>
      <c r="D286" s="1">
        <v>350</v>
      </c>
      <c r="E286" s="1">
        <v>523600</v>
      </c>
      <c r="F286" s="1">
        <v>31416</v>
      </c>
      <c r="G286" s="1">
        <v>492184</v>
      </c>
      <c r="H286" s="1">
        <v>388960</v>
      </c>
    </row>
    <row r="287" spans="2:8" x14ac:dyDescent="0.25">
      <c r="B287" s="12">
        <v>2299</v>
      </c>
      <c r="C287" s="1">
        <v>10</v>
      </c>
      <c r="D287" s="1">
        <v>12</v>
      </c>
      <c r="E287" s="1">
        <v>27588</v>
      </c>
      <c r="F287" s="1">
        <v>1655.28</v>
      </c>
      <c r="G287" s="1">
        <v>25932.720000000001</v>
      </c>
      <c r="H287" s="1">
        <v>6897</v>
      </c>
    </row>
    <row r="288" spans="2:8" x14ac:dyDescent="0.25">
      <c r="B288" s="12">
        <v>727</v>
      </c>
      <c r="C288" s="1">
        <v>10</v>
      </c>
      <c r="D288" s="1">
        <v>350</v>
      </c>
      <c r="E288" s="1">
        <v>254450</v>
      </c>
      <c r="F288" s="1">
        <v>15267</v>
      </c>
      <c r="G288" s="1">
        <v>239183</v>
      </c>
      <c r="H288" s="1">
        <v>189020</v>
      </c>
    </row>
    <row r="289" spans="2:8" x14ac:dyDescent="0.25">
      <c r="B289" s="12">
        <v>952</v>
      </c>
      <c r="C289" s="1">
        <v>120</v>
      </c>
      <c r="D289" s="1">
        <v>125</v>
      </c>
      <c r="E289" s="1">
        <v>119000</v>
      </c>
      <c r="F289" s="1">
        <v>7140</v>
      </c>
      <c r="G289" s="1">
        <v>111860</v>
      </c>
      <c r="H289" s="1">
        <v>114240</v>
      </c>
    </row>
    <row r="290" spans="2:8" x14ac:dyDescent="0.25">
      <c r="B290" s="12">
        <v>2755</v>
      </c>
      <c r="C290" s="1">
        <v>120</v>
      </c>
      <c r="D290" s="1">
        <v>125</v>
      </c>
      <c r="E290" s="1">
        <v>344375</v>
      </c>
      <c r="F290" s="1">
        <v>20662.5</v>
      </c>
      <c r="G290" s="1">
        <v>323712.5</v>
      </c>
      <c r="H290" s="1">
        <v>330600</v>
      </c>
    </row>
    <row r="291" spans="2:8" x14ac:dyDescent="0.25">
      <c r="B291" s="12">
        <v>1530</v>
      </c>
      <c r="C291" s="1">
        <v>120</v>
      </c>
      <c r="D291" s="1">
        <v>15</v>
      </c>
      <c r="E291" s="1">
        <v>22950</v>
      </c>
      <c r="F291" s="1">
        <v>1377</v>
      </c>
      <c r="G291" s="1">
        <v>21573</v>
      </c>
      <c r="H291" s="1">
        <v>15300</v>
      </c>
    </row>
    <row r="292" spans="2:8" x14ac:dyDescent="0.25">
      <c r="B292" s="12">
        <v>1496</v>
      </c>
      <c r="C292" s="1">
        <v>120</v>
      </c>
      <c r="D292" s="1">
        <v>350</v>
      </c>
      <c r="E292" s="1">
        <v>523600</v>
      </c>
      <c r="F292" s="1">
        <v>31416</v>
      </c>
      <c r="G292" s="1">
        <v>492184</v>
      </c>
      <c r="H292" s="1">
        <v>388960</v>
      </c>
    </row>
    <row r="293" spans="2:8" x14ac:dyDescent="0.25">
      <c r="B293" s="12">
        <v>1498</v>
      </c>
      <c r="C293" s="1">
        <v>120</v>
      </c>
      <c r="D293" s="1">
        <v>7</v>
      </c>
      <c r="E293" s="1">
        <v>10486</v>
      </c>
      <c r="F293" s="1">
        <v>629.16</v>
      </c>
      <c r="G293" s="1">
        <v>9856.84</v>
      </c>
      <c r="H293" s="1">
        <v>7490</v>
      </c>
    </row>
    <row r="294" spans="2:8" x14ac:dyDescent="0.25">
      <c r="B294" s="12">
        <v>1221</v>
      </c>
      <c r="C294" s="1">
        <v>120</v>
      </c>
      <c r="D294" s="1">
        <v>300</v>
      </c>
      <c r="E294" s="1">
        <v>366300</v>
      </c>
      <c r="F294" s="1">
        <v>21978</v>
      </c>
      <c r="G294" s="1">
        <v>344322</v>
      </c>
      <c r="H294" s="1">
        <v>305250</v>
      </c>
    </row>
    <row r="295" spans="2:8" x14ac:dyDescent="0.25">
      <c r="B295" s="12">
        <v>2076</v>
      </c>
      <c r="C295" s="1">
        <v>120</v>
      </c>
      <c r="D295" s="1">
        <v>350</v>
      </c>
      <c r="E295" s="1">
        <v>726600</v>
      </c>
      <c r="F295" s="1">
        <v>43596</v>
      </c>
      <c r="G295" s="1">
        <v>683004</v>
      </c>
      <c r="H295" s="1">
        <v>539760</v>
      </c>
    </row>
    <row r="296" spans="2:8" x14ac:dyDescent="0.25">
      <c r="B296" s="12">
        <v>2844</v>
      </c>
      <c r="C296" s="1">
        <v>250</v>
      </c>
      <c r="D296" s="1">
        <v>15</v>
      </c>
      <c r="E296" s="1">
        <v>42660</v>
      </c>
      <c r="F296" s="1">
        <v>2559.6</v>
      </c>
      <c r="G296" s="1">
        <v>40100.400000000001</v>
      </c>
      <c r="H296" s="1">
        <v>28440</v>
      </c>
    </row>
    <row r="297" spans="2:8" x14ac:dyDescent="0.25">
      <c r="B297" s="12">
        <v>1498</v>
      </c>
      <c r="C297" s="1">
        <v>250</v>
      </c>
      <c r="D297" s="1">
        <v>7</v>
      </c>
      <c r="E297" s="1">
        <v>10486</v>
      </c>
      <c r="F297" s="1">
        <v>629.16</v>
      </c>
      <c r="G297" s="1">
        <v>9856.84</v>
      </c>
      <c r="H297" s="1">
        <v>7490</v>
      </c>
    </row>
    <row r="298" spans="2:8" x14ac:dyDescent="0.25">
      <c r="B298" s="12">
        <v>1221</v>
      </c>
      <c r="C298" s="1">
        <v>250</v>
      </c>
      <c r="D298" s="1">
        <v>300</v>
      </c>
      <c r="E298" s="1">
        <v>366300</v>
      </c>
      <c r="F298" s="1">
        <v>21978</v>
      </c>
      <c r="G298" s="1">
        <v>344322</v>
      </c>
      <c r="H298" s="1">
        <v>305250</v>
      </c>
    </row>
    <row r="299" spans="2:8" x14ac:dyDescent="0.25">
      <c r="B299" s="12">
        <v>1123</v>
      </c>
      <c r="C299" s="1">
        <v>250</v>
      </c>
      <c r="D299" s="1">
        <v>20</v>
      </c>
      <c r="E299" s="1">
        <v>22460</v>
      </c>
      <c r="F299" s="1">
        <v>1347.6</v>
      </c>
      <c r="G299" s="1">
        <v>21112.400000000001</v>
      </c>
      <c r="H299" s="1">
        <v>11230</v>
      </c>
    </row>
    <row r="300" spans="2:8" x14ac:dyDescent="0.25">
      <c r="B300" s="12">
        <v>2436</v>
      </c>
      <c r="C300" s="1">
        <v>250</v>
      </c>
      <c r="D300" s="1">
        <v>300</v>
      </c>
      <c r="E300" s="1">
        <v>730800</v>
      </c>
      <c r="F300" s="1">
        <v>43848</v>
      </c>
      <c r="G300" s="1">
        <v>686952</v>
      </c>
      <c r="H300" s="1">
        <v>609000</v>
      </c>
    </row>
    <row r="301" spans="2:8" x14ac:dyDescent="0.25">
      <c r="B301" s="12">
        <v>1987.5</v>
      </c>
      <c r="C301" s="1">
        <v>260</v>
      </c>
      <c r="D301" s="1">
        <v>125</v>
      </c>
      <c r="E301" s="1">
        <v>248437.5</v>
      </c>
      <c r="F301" s="1">
        <v>14906.25</v>
      </c>
      <c r="G301" s="1">
        <v>233531.25</v>
      </c>
      <c r="H301" s="1">
        <v>238500</v>
      </c>
    </row>
    <row r="302" spans="2:8" x14ac:dyDescent="0.25">
      <c r="B302" s="12">
        <v>1679</v>
      </c>
      <c r="C302" s="1">
        <v>260</v>
      </c>
      <c r="D302" s="1">
        <v>350</v>
      </c>
      <c r="E302" s="1">
        <v>587650</v>
      </c>
      <c r="F302" s="1">
        <v>35259</v>
      </c>
      <c r="G302" s="1">
        <v>552391</v>
      </c>
      <c r="H302" s="1">
        <v>436540</v>
      </c>
    </row>
    <row r="303" spans="2:8" x14ac:dyDescent="0.25">
      <c r="B303" s="12">
        <v>727</v>
      </c>
      <c r="C303" s="1">
        <v>260</v>
      </c>
      <c r="D303" s="1">
        <v>350</v>
      </c>
      <c r="E303" s="1">
        <v>254450</v>
      </c>
      <c r="F303" s="1">
        <v>15267</v>
      </c>
      <c r="G303" s="1">
        <v>239183</v>
      </c>
      <c r="H303" s="1">
        <v>189020</v>
      </c>
    </row>
    <row r="304" spans="2:8" x14ac:dyDescent="0.25">
      <c r="B304" s="12">
        <v>1403</v>
      </c>
      <c r="C304" s="1">
        <v>260</v>
      </c>
      <c r="D304" s="1">
        <v>7</v>
      </c>
      <c r="E304" s="1">
        <v>9821</v>
      </c>
      <c r="F304" s="1">
        <v>589.26</v>
      </c>
      <c r="G304" s="1">
        <v>9231.74</v>
      </c>
      <c r="H304" s="1">
        <v>7015</v>
      </c>
    </row>
    <row r="305" spans="2:8" x14ac:dyDescent="0.25">
      <c r="B305" s="12">
        <v>2076</v>
      </c>
      <c r="C305" s="1">
        <v>260</v>
      </c>
      <c r="D305" s="1">
        <v>350</v>
      </c>
      <c r="E305" s="1">
        <v>726600</v>
      </c>
      <c r="F305" s="1">
        <v>43596</v>
      </c>
      <c r="G305" s="1">
        <v>683004</v>
      </c>
      <c r="H305" s="1">
        <v>539760</v>
      </c>
    </row>
    <row r="306" spans="2:8" x14ac:dyDescent="0.25">
      <c r="B306" s="12">
        <v>1757</v>
      </c>
      <c r="C306" s="1">
        <v>5</v>
      </c>
      <c r="D306" s="1">
        <v>20</v>
      </c>
      <c r="E306" s="1">
        <v>35140</v>
      </c>
      <c r="F306" s="1">
        <v>2108.4</v>
      </c>
      <c r="G306" s="1">
        <v>33031.599999999999</v>
      </c>
      <c r="H306" s="1">
        <v>17570</v>
      </c>
    </row>
    <row r="307" spans="2:8" x14ac:dyDescent="0.25">
      <c r="B307" s="12">
        <v>2198</v>
      </c>
      <c r="C307" s="1">
        <v>10</v>
      </c>
      <c r="D307" s="1">
        <v>15</v>
      </c>
      <c r="E307" s="1">
        <v>32970</v>
      </c>
      <c r="F307" s="1">
        <v>1978.2</v>
      </c>
      <c r="G307" s="1">
        <v>30991.8</v>
      </c>
      <c r="H307" s="1">
        <v>21980</v>
      </c>
    </row>
    <row r="308" spans="2:8" x14ac:dyDescent="0.25">
      <c r="B308" s="12">
        <v>1743</v>
      </c>
      <c r="C308" s="1">
        <v>10</v>
      </c>
      <c r="D308" s="1">
        <v>15</v>
      </c>
      <c r="E308" s="1">
        <v>26145</v>
      </c>
      <c r="F308" s="1">
        <v>1568.7</v>
      </c>
      <c r="G308" s="1">
        <v>24576.3</v>
      </c>
      <c r="H308" s="1">
        <v>17430</v>
      </c>
    </row>
    <row r="309" spans="2:8" x14ac:dyDescent="0.25">
      <c r="B309" s="12">
        <v>1153</v>
      </c>
      <c r="C309" s="1">
        <v>10</v>
      </c>
      <c r="D309" s="1">
        <v>15</v>
      </c>
      <c r="E309" s="1">
        <v>17295</v>
      </c>
      <c r="F309" s="1">
        <v>1037.7</v>
      </c>
      <c r="G309" s="1">
        <v>16257.3</v>
      </c>
      <c r="H309" s="1">
        <v>11530</v>
      </c>
    </row>
    <row r="310" spans="2:8" x14ac:dyDescent="0.25">
      <c r="B310" s="12">
        <v>1757</v>
      </c>
      <c r="C310" s="1">
        <v>10</v>
      </c>
      <c r="D310" s="1">
        <v>20</v>
      </c>
      <c r="E310" s="1">
        <v>35140</v>
      </c>
      <c r="F310" s="1">
        <v>2108.4</v>
      </c>
      <c r="G310" s="1">
        <v>33031.599999999999</v>
      </c>
      <c r="H310" s="1">
        <v>17570</v>
      </c>
    </row>
    <row r="311" spans="2:8" x14ac:dyDescent="0.25">
      <c r="B311" s="12">
        <v>1001</v>
      </c>
      <c r="C311" s="1">
        <v>120</v>
      </c>
      <c r="D311" s="1">
        <v>20</v>
      </c>
      <c r="E311" s="1">
        <v>20020</v>
      </c>
      <c r="F311" s="1">
        <v>1201.2</v>
      </c>
      <c r="G311" s="1">
        <v>18818.8</v>
      </c>
      <c r="H311" s="1">
        <v>10010</v>
      </c>
    </row>
    <row r="312" spans="2:8" x14ac:dyDescent="0.25">
      <c r="B312" s="12">
        <v>1333</v>
      </c>
      <c r="C312" s="1">
        <v>120</v>
      </c>
      <c r="D312" s="1">
        <v>7</v>
      </c>
      <c r="E312" s="1">
        <v>9331</v>
      </c>
      <c r="F312" s="1">
        <v>559.86</v>
      </c>
      <c r="G312" s="1">
        <v>8771.14</v>
      </c>
      <c r="H312" s="1">
        <v>6665</v>
      </c>
    </row>
    <row r="313" spans="2:8" x14ac:dyDescent="0.25">
      <c r="B313" s="12">
        <v>1153</v>
      </c>
      <c r="C313" s="1">
        <v>250</v>
      </c>
      <c r="D313" s="1">
        <v>15</v>
      </c>
      <c r="E313" s="1">
        <v>17295</v>
      </c>
      <c r="F313" s="1">
        <v>1037.7</v>
      </c>
      <c r="G313" s="1">
        <v>16257.3</v>
      </c>
      <c r="H313" s="1">
        <v>11530</v>
      </c>
    </row>
    <row r="314" spans="2:8" x14ac:dyDescent="0.25">
      <c r="B314" s="12">
        <v>727</v>
      </c>
      <c r="C314" s="1">
        <v>3</v>
      </c>
      <c r="D314" s="1">
        <v>12</v>
      </c>
      <c r="E314" s="1">
        <v>8724</v>
      </c>
      <c r="F314" s="1">
        <v>610.67999999999995</v>
      </c>
      <c r="G314" s="1">
        <v>8113.32</v>
      </c>
      <c r="H314" s="1">
        <v>2181</v>
      </c>
    </row>
    <row r="315" spans="2:8" x14ac:dyDescent="0.25">
      <c r="B315" s="12">
        <v>1884</v>
      </c>
      <c r="C315" s="1">
        <v>3</v>
      </c>
      <c r="D315" s="1">
        <v>12</v>
      </c>
      <c r="E315" s="1">
        <v>22608</v>
      </c>
      <c r="F315" s="1">
        <v>1582.56</v>
      </c>
      <c r="G315" s="1">
        <v>21025.439999999999</v>
      </c>
      <c r="H315" s="1">
        <v>5652</v>
      </c>
    </row>
    <row r="316" spans="2:8" x14ac:dyDescent="0.25">
      <c r="B316" s="12">
        <v>1834</v>
      </c>
      <c r="C316" s="1">
        <v>3</v>
      </c>
      <c r="D316" s="1">
        <v>20</v>
      </c>
      <c r="E316" s="1">
        <v>36680</v>
      </c>
      <c r="F316" s="1">
        <v>2567.6</v>
      </c>
      <c r="G316" s="1">
        <v>34112.400000000001</v>
      </c>
      <c r="H316" s="1">
        <v>18340</v>
      </c>
    </row>
    <row r="317" spans="2:8" x14ac:dyDescent="0.25">
      <c r="B317" s="12">
        <v>2340</v>
      </c>
      <c r="C317" s="1">
        <v>5</v>
      </c>
      <c r="D317" s="1">
        <v>12</v>
      </c>
      <c r="E317" s="1">
        <v>28080</v>
      </c>
      <c r="F317" s="1">
        <v>1965.6</v>
      </c>
      <c r="G317" s="1">
        <v>26114.400000000001</v>
      </c>
      <c r="H317" s="1">
        <v>7020</v>
      </c>
    </row>
    <row r="318" spans="2:8" x14ac:dyDescent="0.25">
      <c r="B318" s="12">
        <v>2342</v>
      </c>
      <c r="C318" s="1">
        <v>5</v>
      </c>
      <c r="D318" s="1">
        <v>12</v>
      </c>
      <c r="E318" s="1">
        <v>28104</v>
      </c>
      <c r="F318" s="1">
        <v>1967.28</v>
      </c>
      <c r="G318" s="1">
        <v>26136.720000000001</v>
      </c>
      <c r="H318" s="1">
        <v>7026</v>
      </c>
    </row>
    <row r="319" spans="2:8" x14ac:dyDescent="0.25">
      <c r="B319" s="12">
        <v>1031</v>
      </c>
      <c r="C319" s="1">
        <v>10</v>
      </c>
      <c r="D319" s="1">
        <v>7</v>
      </c>
      <c r="E319" s="1">
        <v>7217</v>
      </c>
      <c r="F319" s="1">
        <v>505.19</v>
      </c>
      <c r="G319" s="1">
        <v>6711.81</v>
      </c>
      <c r="H319" s="1">
        <v>5155</v>
      </c>
    </row>
    <row r="320" spans="2:8" x14ac:dyDescent="0.25">
      <c r="B320" s="12">
        <v>1262</v>
      </c>
      <c r="C320" s="1">
        <v>120</v>
      </c>
      <c r="D320" s="1">
        <v>15</v>
      </c>
      <c r="E320" s="1">
        <v>18930</v>
      </c>
      <c r="F320" s="1">
        <v>1325.1</v>
      </c>
      <c r="G320" s="1">
        <v>17604.900000000001</v>
      </c>
      <c r="H320" s="1">
        <v>12620</v>
      </c>
    </row>
    <row r="321" spans="2:8" x14ac:dyDescent="0.25">
      <c r="B321" s="12">
        <v>1135</v>
      </c>
      <c r="C321" s="1">
        <v>120</v>
      </c>
      <c r="D321" s="1">
        <v>7</v>
      </c>
      <c r="E321" s="1">
        <v>7945</v>
      </c>
      <c r="F321" s="1">
        <v>556.15</v>
      </c>
      <c r="G321" s="1">
        <v>7388.85</v>
      </c>
      <c r="H321" s="1">
        <v>5675</v>
      </c>
    </row>
    <row r="322" spans="2:8" x14ac:dyDescent="0.25">
      <c r="B322" s="12">
        <v>547</v>
      </c>
      <c r="C322" s="1">
        <v>120</v>
      </c>
      <c r="D322" s="1">
        <v>7</v>
      </c>
      <c r="E322" s="1">
        <v>3829</v>
      </c>
      <c r="F322" s="1">
        <v>268.02999999999997</v>
      </c>
      <c r="G322" s="1">
        <v>3560.9700000000003</v>
      </c>
      <c r="H322" s="1">
        <v>2735</v>
      </c>
    </row>
    <row r="323" spans="2:8" x14ac:dyDescent="0.25">
      <c r="B323" s="12">
        <v>1582</v>
      </c>
      <c r="C323" s="1">
        <v>120</v>
      </c>
      <c r="D323" s="1">
        <v>7</v>
      </c>
      <c r="E323" s="1">
        <v>11074</v>
      </c>
      <c r="F323" s="1">
        <v>775.18</v>
      </c>
      <c r="G323" s="1">
        <v>10298.82</v>
      </c>
      <c r="H323" s="1">
        <v>7910</v>
      </c>
    </row>
    <row r="324" spans="2:8" x14ac:dyDescent="0.25">
      <c r="B324" s="12">
        <v>1738.5</v>
      </c>
      <c r="C324" s="1">
        <v>250</v>
      </c>
      <c r="D324" s="1">
        <v>12</v>
      </c>
      <c r="E324" s="1">
        <v>20862</v>
      </c>
      <c r="F324" s="1">
        <v>1460.34</v>
      </c>
      <c r="G324" s="1">
        <v>19401.66</v>
      </c>
      <c r="H324" s="1">
        <v>5215.5</v>
      </c>
    </row>
    <row r="325" spans="2:8" x14ac:dyDescent="0.25">
      <c r="B325" s="12">
        <v>2215</v>
      </c>
      <c r="C325" s="1">
        <v>250</v>
      </c>
      <c r="D325" s="1">
        <v>12</v>
      </c>
      <c r="E325" s="1">
        <v>26580</v>
      </c>
      <c r="F325" s="1">
        <v>1860.6</v>
      </c>
      <c r="G325" s="1">
        <v>24719.4</v>
      </c>
      <c r="H325" s="1">
        <v>6645</v>
      </c>
    </row>
    <row r="326" spans="2:8" x14ac:dyDescent="0.25">
      <c r="B326" s="12">
        <v>1582</v>
      </c>
      <c r="C326" s="1">
        <v>250</v>
      </c>
      <c r="D326" s="1">
        <v>7</v>
      </c>
      <c r="E326" s="1">
        <v>11074</v>
      </c>
      <c r="F326" s="1">
        <v>775.18</v>
      </c>
      <c r="G326" s="1">
        <v>10298.82</v>
      </c>
      <c r="H326" s="1">
        <v>7910</v>
      </c>
    </row>
    <row r="327" spans="2:8" x14ac:dyDescent="0.25">
      <c r="B327" s="12">
        <v>1135</v>
      </c>
      <c r="C327" s="1">
        <v>260</v>
      </c>
      <c r="D327" s="1">
        <v>7</v>
      </c>
      <c r="E327" s="1">
        <v>7945</v>
      </c>
      <c r="F327" s="1">
        <v>556.15</v>
      </c>
      <c r="G327" s="1">
        <v>7388.85</v>
      </c>
      <c r="H327" s="1">
        <v>5675</v>
      </c>
    </row>
    <row r="328" spans="2:8" x14ac:dyDescent="0.25">
      <c r="B328" s="12">
        <v>1761</v>
      </c>
      <c r="C328" s="1">
        <v>3</v>
      </c>
      <c r="D328" s="1">
        <v>350</v>
      </c>
      <c r="E328" s="1">
        <v>616350</v>
      </c>
      <c r="F328" s="1">
        <v>43144.5</v>
      </c>
      <c r="G328" s="1">
        <v>573205.5</v>
      </c>
      <c r="H328" s="1">
        <v>457860</v>
      </c>
    </row>
    <row r="329" spans="2:8" x14ac:dyDescent="0.25">
      <c r="B329" s="12">
        <v>448</v>
      </c>
      <c r="C329" s="1">
        <v>3</v>
      </c>
      <c r="D329" s="1">
        <v>300</v>
      </c>
      <c r="E329" s="1">
        <v>134400</v>
      </c>
      <c r="F329" s="1">
        <v>9408</v>
      </c>
      <c r="G329" s="1">
        <v>124992</v>
      </c>
      <c r="H329" s="1">
        <v>112000</v>
      </c>
    </row>
    <row r="330" spans="2:8" x14ac:dyDescent="0.25">
      <c r="B330" s="12">
        <v>2181</v>
      </c>
      <c r="C330" s="1">
        <v>3</v>
      </c>
      <c r="D330" s="1">
        <v>300</v>
      </c>
      <c r="E330" s="1">
        <v>654300</v>
      </c>
      <c r="F330" s="1">
        <v>45801</v>
      </c>
      <c r="G330" s="1">
        <v>608499</v>
      </c>
      <c r="H330" s="1">
        <v>545250</v>
      </c>
    </row>
    <row r="331" spans="2:8" x14ac:dyDescent="0.25">
      <c r="B331" s="12">
        <v>1976</v>
      </c>
      <c r="C331" s="1">
        <v>5</v>
      </c>
      <c r="D331" s="1">
        <v>20</v>
      </c>
      <c r="E331" s="1">
        <v>39520</v>
      </c>
      <c r="F331" s="1">
        <v>2766.4</v>
      </c>
      <c r="G331" s="1">
        <v>36753.599999999999</v>
      </c>
      <c r="H331" s="1">
        <v>19760</v>
      </c>
    </row>
    <row r="332" spans="2:8" x14ac:dyDescent="0.25">
      <c r="B332" s="12">
        <v>2181</v>
      </c>
      <c r="C332" s="1">
        <v>5</v>
      </c>
      <c r="D332" s="1">
        <v>300</v>
      </c>
      <c r="E332" s="1">
        <v>654300</v>
      </c>
      <c r="F332" s="1">
        <v>45801</v>
      </c>
      <c r="G332" s="1">
        <v>608499</v>
      </c>
      <c r="H332" s="1">
        <v>545250</v>
      </c>
    </row>
    <row r="333" spans="2:8" x14ac:dyDescent="0.25">
      <c r="B333" s="12">
        <v>2500</v>
      </c>
      <c r="C333" s="1">
        <v>5</v>
      </c>
      <c r="D333" s="1">
        <v>125</v>
      </c>
      <c r="E333" s="1">
        <v>312500</v>
      </c>
      <c r="F333" s="1">
        <v>21875</v>
      </c>
      <c r="G333" s="1">
        <v>290625</v>
      </c>
      <c r="H333" s="1">
        <v>300000</v>
      </c>
    </row>
    <row r="334" spans="2:8" x14ac:dyDescent="0.25">
      <c r="B334" s="12">
        <v>1702</v>
      </c>
      <c r="C334" s="1">
        <v>10</v>
      </c>
      <c r="D334" s="1">
        <v>300</v>
      </c>
      <c r="E334" s="1">
        <v>510600</v>
      </c>
      <c r="F334" s="1">
        <v>35742</v>
      </c>
      <c r="G334" s="1">
        <v>474858</v>
      </c>
      <c r="H334" s="1">
        <v>425500</v>
      </c>
    </row>
    <row r="335" spans="2:8" x14ac:dyDescent="0.25">
      <c r="B335" s="12">
        <v>448</v>
      </c>
      <c r="C335" s="1">
        <v>10</v>
      </c>
      <c r="D335" s="1">
        <v>300</v>
      </c>
      <c r="E335" s="1">
        <v>134400</v>
      </c>
      <c r="F335" s="1">
        <v>9408</v>
      </c>
      <c r="G335" s="1">
        <v>124992</v>
      </c>
      <c r="H335" s="1">
        <v>112000</v>
      </c>
    </row>
    <row r="336" spans="2:8" x14ac:dyDescent="0.25">
      <c r="B336" s="12">
        <v>3513</v>
      </c>
      <c r="C336" s="1">
        <v>10</v>
      </c>
      <c r="D336" s="1">
        <v>125</v>
      </c>
      <c r="E336" s="1">
        <v>439125</v>
      </c>
      <c r="F336" s="1">
        <v>30738.75</v>
      </c>
      <c r="G336" s="1">
        <v>408386.25</v>
      </c>
      <c r="H336" s="1">
        <v>421560</v>
      </c>
    </row>
    <row r="337" spans="2:8" x14ac:dyDescent="0.25">
      <c r="B337" s="12">
        <v>2101</v>
      </c>
      <c r="C337" s="1">
        <v>10</v>
      </c>
      <c r="D337" s="1">
        <v>15</v>
      </c>
      <c r="E337" s="1">
        <v>31515</v>
      </c>
      <c r="F337" s="1">
        <v>2206.0500000000002</v>
      </c>
      <c r="G337" s="1">
        <v>29308.95</v>
      </c>
      <c r="H337" s="1">
        <v>21010</v>
      </c>
    </row>
    <row r="338" spans="2:8" x14ac:dyDescent="0.25">
      <c r="B338" s="12">
        <v>2931</v>
      </c>
      <c r="C338" s="1">
        <v>10</v>
      </c>
      <c r="D338" s="1">
        <v>15</v>
      </c>
      <c r="E338" s="1">
        <v>43965</v>
      </c>
      <c r="F338" s="1">
        <v>3077.55</v>
      </c>
      <c r="G338" s="1">
        <v>40887.449999999997</v>
      </c>
      <c r="H338" s="1">
        <v>29310</v>
      </c>
    </row>
    <row r="339" spans="2:8" x14ac:dyDescent="0.25">
      <c r="B339" s="12">
        <v>1535</v>
      </c>
      <c r="C339" s="1">
        <v>10</v>
      </c>
      <c r="D339" s="1">
        <v>20</v>
      </c>
      <c r="E339" s="1">
        <v>30700</v>
      </c>
      <c r="F339" s="1">
        <v>2149</v>
      </c>
      <c r="G339" s="1">
        <v>28551</v>
      </c>
      <c r="H339" s="1">
        <v>15350</v>
      </c>
    </row>
    <row r="340" spans="2:8" x14ac:dyDescent="0.25">
      <c r="B340" s="12">
        <v>1123</v>
      </c>
      <c r="C340" s="1">
        <v>10</v>
      </c>
      <c r="D340" s="1">
        <v>300</v>
      </c>
      <c r="E340" s="1">
        <v>336900</v>
      </c>
      <c r="F340" s="1">
        <v>23583</v>
      </c>
      <c r="G340" s="1">
        <v>313317</v>
      </c>
      <c r="H340" s="1">
        <v>280750</v>
      </c>
    </row>
    <row r="341" spans="2:8" x14ac:dyDescent="0.25">
      <c r="B341" s="12">
        <v>1404</v>
      </c>
      <c r="C341" s="1">
        <v>10</v>
      </c>
      <c r="D341" s="1">
        <v>300</v>
      </c>
      <c r="E341" s="1">
        <v>421200</v>
      </c>
      <c r="F341" s="1">
        <v>29484</v>
      </c>
      <c r="G341" s="1">
        <v>391716</v>
      </c>
      <c r="H341" s="1">
        <v>351000</v>
      </c>
    </row>
    <row r="342" spans="2:8" x14ac:dyDescent="0.25">
      <c r="B342" s="12">
        <v>2763</v>
      </c>
      <c r="C342" s="1">
        <v>10</v>
      </c>
      <c r="D342" s="1">
        <v>12</v>
      </c>
      <c r="E342" s="1">
        <v>33156</v>
      </c>
      <c r="F342" s="1">
        <v>2320.92</v>
      </c>
      <c r="G342" s="1">
        <v>30835.08</v>
      </c>
      <c r="H342" s="1">
        <v>8289</v>
      </c>
    </row>
    <row r="343" spans="2:8" x14ac:dyDescent="0.25">
      <c r="B343" s="12">
        <v>2125</v>
      </c>
      <c r="C343" s="1">
        <v>10</v>
      </c>
      <c r="D343" s="1">
        <v>7</v>
      </c>
      <c r="E343" s="1">
        <v>14875</v>
      </c>
      <c r="F343" s="1">
        <v>1041.25</v>
      </c>
      <c r="G343" s="1">
        <v>13833.75</v>
      </c>
      <c r="H343" s="1">
        <v>10625</v>
      </c>
    </row>
    <row r="344" spans="2:8" x14ac:dyDescent="0.25">
      <c r="B344" s="12">
        <v>1659</v>
      </c>
      <c r="C344" s="1">
        <v>120</v>
      </c>
      <c r="D344" s="1">
        <v>300</v>
      </c>
      <c r="E344" s="1">
        <v>497700</v>
      </c>
      <c r="F344" s="1">
        <v>34839</v>
      </c>
      <c r="G344" s="1">
        <v>462861</v>
      </c>
      <c r="H344" s="1">
        <v>414750</v>
      </c>
    </row>
    <row r="345" spans="2:8" x14ac:dyDescent="0.25">
      <c r="B345" s="12">
        <v>609</v>
      </c>
      <c r="C345" s="1">
        <v>120</v>
      </c>
      <c r="D345" s="1">
        <v>20</v>
      </c>
      <c r="E345" s="1">
        <v>12180</v>
      </c>
      <c r="F345" s="1">
        <v>852.6</v>
      </c>
      <c r="G345" s="1">
        <v>11327.4</v>
      </c>
      <c r="H345" s="1">
        <v>6090</v>
      </c>
    </row>
    <row r="346" spans="2:8" x14ac:dyDescent="0.25">
      <c r="B346" s="12">
        <v>2087</v>
      </c>
      <c r="C346" s="1">
        <v>120</v>
      </c>
      <c r="D346" s="1">
        <v>125</v>
      </c>
      <c r="E346" s="1">
        <v>260875</v>
      </c>
      <c r="F346" s="1">
        <v>18261.25</v>
      </c>
      <c r="G346" s="1">
        <v>242613.75</v>
      </c>
      <c r="H346" s="1">
        <v>250440</v>
      </c>
    </row>
    <row r="347" spans="2:8" x14ac:dyDescent="0.25">
      <c r="B347" s="12">
        <v>1976</v>
      </c>
      <c r="C347" s="1">
        <v>120</v>
      </c>
      <c r="D347" s="1">
        <v>20</v>
      </c>
      <c r="E347" s="1">
        <v>39520</v>
      </c>
      <c r="F347" s="1">
        <v>2766.4</v>
      </c>
      <c r="G347" s="1">
        <v>36753.599999999999</v>
      </c>
      <c r="H347" s="1">
        <v>19760</v>
      </c>
    </row>
    <row r="348" spans="2:8" x14ac:dyDescent="0.25">
      <c r="B348" s="12">
        <v>1421</v>
      </c>
      <c r="C348" s="1">
        <v>120</v>
      </c>
      <c r="D348" s="1">
        <v>20</v>
      </c>
      <c r="E348" s="1">
        <v>28420</v>
      </c>
      <c r="F348" s="1">
        <v>1989.4</v>
      </c>
      <c r="G348" s="1">
        <v>26430.6</v>
      </c>
      <c r="H348" s="1">
        <v>14210</v>
      </c>
    </row>
    <row r="349" spans="2:8" x14ac:dyDescent="0.25">
      <c r="B349" s="12">
        <v>1372</v>
      </c>
      <c r="C349" s="1">
        <v>120</v>
      </c>
      <c r="D349" s="1">
        <v>300</v>
      </c>
      <c r="E349" s="1">
        <v>411600</v>
      </c>
      <c r="F349" s="1">
        <v>28812</v>
      </c>
      <c r="G349" s="1">
        <v>382788</v>
      </c>
      <c r="H349" s="1">
        <v>343000</v>
      </c>
    </row>
    <row r="350" spans="2:8" x14ac:dyDescent="0.25">
      <c r="B350" s="12">
        <v>588</v>
      </c>
      <c r="C350" s="1">
        <v>120</v>
      </c>
      <c r="D350" s="1">
        <v>20</v>
      </c>
      <c r="E350" s="1">
        <v>11760</v>
      </c>
      <c r="F350" s="1">
        <v>823.2</v>
      </c>
      <c r="G350" s="1">
        <v>10936.8</v>
      </c>
      <c r="H350" s="1">
        <v>5880</v>
      </c>
    </row>
    <row r="351" spans="2:8" x14ac:dyDescent="0.25">
      <c r="B351" s="12">
        <v>3244.5</v>
      </c>
      <c r="C351" s="1">
        <v>250</v>
      </c>
      <c r="D351" s="1">
        <v>12</v>
      </c>
      <c r="E351" s="1">
        <v>38934</v>
      </c>
      <c r="F351" s="1">
        <v>2725.38</v>
      </c>
      <c r="G351" s="1">
        <v>36208.620000000003</v>
      </c>
      <c r="H351" s="1">
        <v>9733.5</v>
      </c>
    </row>
    <row r="352" spans="2:8" x14ac:dyDescent="0.25">
      <c r="B352" s="12">
        <v>959</v>
      </c>
      <c r="C352" s="1">
        <v>250</v>
      </c>
      <c r="D352" s="1">
        <v>300</v>
      </c>
      <c r="E352" s="1">
        <v>287700</v>
      </c>
      <c r="F352" s="1">
        <v>20139</v>
      </c>
      <c r="G352" s="1">
        <v>267561</v>
      </c>
      <c r="H352" s="1">
        <v>239750</v>
      </c>
    </row>
    <row r="353" spans="2:8" x14ac:dyDescent="0.25">
      <c r="B353" s="12">
        <v>2747</v>
      </c>
      <c r="C353" s="1">
        <v>250</v>
      </c>
      <c r="D353" s="1">
        <v>300</v>
      </c>
      <c r="E353" s="1">
        <v>824100</v>
      </c>
      <c r="F353" s="1">
        <v>57687</v>
      </c>
      <c r="G353" s="1">
        <v>766413</v>
      </c>
      <c r="H353" s="1">
        <v>686750</v>
      </c>
    </row>
    <row r="354" spans="2:8" x14ac:dyDescent="0.25">
      <c r="B354" s="12">
        <v>1645</v>
      </c>
      <c r="C354" s="1">
        <v>260</v>
      </c>
      <c r="D354" s="1">
        <v>125</v>
      </c>
      <c r="E354" s="1">
        <v>205625</v>
      </c>
      <c r="F354" s="1">
        <v>14393.75</v>
      </c>
      <c r="G354" s="1">
        <v>191231.25</v>
      </c>
      <c r="H354" s="1">
        <v>197400</v>
      </c>
    </row>
    <row r="355" spans="2:8" x14ac:dyDescent="0.25">
      <c r="B355" s="12">
        <v>2876</v>
      </c>
      <c r="C355" s="1">
        <v>260</v>
      </c>
      <c r="D355" s="1">
        <v>350</v>
      </c>
      <c r="E355" s="1">
        <v>1006600</v>
      </c>
      <c r="F355" s="1">
        <v>70462</v>
      </c>
      <c r="G355" s="1">
        <v>936138</v>
      </c>
      <c r="H355" s="1">
        <v>747760</v>
      </c>
    </row>
    <row r="356" spans="2:8" x14ac:dyDescent="0.25">
      <c r="B356" s="12">
        <v>994</v>
      </c>
      <c r="C356" s="1">
        <v>260</v>
      </c>
      <c r="D356" s="1">
        <v>125</v>
      </c>
      <c r="E356" s="1">
        <v>124250</v>
      </c>
      <c r="F356" s="1">
        <v>8697.5</v>
      </c>
      <c r="G356" s="1">
        <v>115552.5</v>
      </c>
      <c r="H356" s="1">
        <v>119280</v>
      </c>
    </row>
    <row r="357" spans="2:8" x14ac:dyDescent="0.25">
      <c r="B357" s="12">
        <v>1118</v>
      </c>
      <c r="C357" s="1">
        <v>260</v>
      </c>
      <c r="D357" s="1">
        <v>20</v>
      </c>
      <c r="E357" s="1">
        <v>22360</v>
      </c>
      <c r="F357" s="1">
        <v>1565.2</v>
      </c>
      <c r="G357" s="1">
        <v>20794.8</v>
      </c>
      <c r="H357" s="1">
        <v>11180</v>
      </c>
    </row>
    <row r="358" spans="2:8" x14ac:dyDescent="0.25">
      <c r="B358" s="12">
        <v>1372</v>
      </c>
      <c r="C358" s="1">
        <v>260</v>
      </c>
      <c r="D358" s="1">
        <v>300</v>
      </c>
      <c r="E358" s="1">
        <v>411600</v>
      </c>
      <c r="F358" s="1">
        <v>28812</v>
      </c>
      <c r="G358" s="1">
        <v>382788</v>
      </c>
      <c r="H358" s="1">
        <v>343000</v>
      </c>
    </row>
    <row r="359" spans="2:8" x14ac:dyDescent="0.25">
      <c r="B359" s="12">
        <v>488</v>
      </c>
      <c r="C359" s="1">
        <v>5</v>
      </c>
      <c r="D359" s="1">
        <v>7</v>
      </c>
      <c r="E359" s="1">
        <v>3416</v>
      </c>
      <c r="F359" s="1">
        <v>273.27999999999997</v>
      </c>
      <c r="G359" s="1">
        <v>3142.7200000000003</v>
      </c>
      <c r="H359" s="1">
        <v>2440</v>
      </c>
    </row>
    <row r="360" spans="2:8" x14ac:dyDescent="0.25">
      <c r="B360" s="12">
        <v>1282</v>
      </c>
      <c r="C360" s="1">
        <v>5</v>
      </c>
      <c r="D360" s="1">
        <v>20</v>
      </c>
      <c r="E360" s="1">
        <v>25640</v>
      </c>
      <c r="F360" s="1">
        <v>2051.1999999999998</v>
      </c>
      <c r="G360" s="1">
        <v>23588.799999999999</v>
      </c>
      <c r="H360" s="1">
        <v>12820</v>
      </c>
    </row>
    <row r="361" spans="2:8" x14ac:dyDescent="0.25">
      <c r="B361" s="12">
        <v>257</v>
      </c>
      <c r="C361" s="1">
        <v>10</v>
      </c>
      <c r="D361" s="1">
        <v>7</v>
      </c>
      <c r="E361" s="1">
        <v>1799</v>
      </c>
      <c r="F361" s="1">
        <v>143.91999999999999</v>
      </c>
      <c r="G361" s="1">
        <v>1655.08</v>
      </c>
      <c r="H361" s="1">
        <v>1285</v>
      </c>
    </row>
    <row r="362" spans="2:8" x14ac:dyDescent="0.25">
      <c r="B362" s="12">
        <v>1282</v>
      </c>
      <c r="C362" s="1">
        <v>260</v>
      </c>
      <c r="D362" s="1">
        <v>20</v>
      </c>
      <c r="E362" s="1">
        <v>25640</v>
      </c>
      <c r="F362" s="1">
        <v>2051.1999999999998</v>
      </c>
      <c r="G362" s="1">
        <v>23588.799999999999</v>
      </c>
      <c r="H362" s="1">
        <v>12820</v>
      </c>
    </row>
    <row r="363" spans="2:8" x14ac:dyDescent="0.25">
      <c r="B363" s="12">
        <v>1540</v>
      </c>
      <c r="C363" s="1">
        <v>3</v>
      </c>
      <c r="D363" s="1">
        <v>125</v>
      </c>
      <c r="E363" s="1">
        <v>192500</v>
      </c>
      <c r="F363" s="1">
        <v>15400</v>
      </c>
      <c r="G363" s="1">
        <v>177100</v>
      </c>
      <c r="H363" s="1">
        <v>184800</v>
      </c>
    </row>
    <row r="364" spans="2:8" x14ac:dyDescent="0.25">
      <c r="B364" s="12">
        <v>490</v>
      </c>
      <c r="C364" s="1">
        <v>3</v>
      </c>
      <c r="D364" s="1">
        <v>15</v>
      </c>
      <c r="E364" s="1">
        <v>7350</v>
      </c>
      <c r="F364" s="1">
        <v>588</v>
      </c>
      <c r="G364" s="1">
        <v>6762</v>
      </c>
      <c r="H364" s="1">
        <v>4900</v>
      </c>
    </row>
    <row r="365" spans="2:8" x14ac:dyDescent="0.25">
      <c r="B365" s="12">
        <v>1362</v>
      </c>
      <c r="C365" s="1">
        <v>3</v>
      </c>
      <c r="D365" s="1">
        <v>350</v>
      </c>
      <c r="E365" s="1">
        <v>476700</v>
      </c>
      <c r="F365" s="1">
        <v>38136</v>
      </c>
      <c r="G365" s="1">
        <v>438564</v>
      </c>
      <c r="H365" s="1">
        <v>354120</v>
      </c>
    </row>
    <row r="366" spans="2:8" x14ac:dyDescent="0.25">
      <c r="B366" s="12">
        <v>2501</v>
      </c>
      <c r="C366" s="1">
        <v>5</v>
      </c>
      <c r="D366" s="1">
        <v>15</v>
      </c>
      <c r="E366" s="1">
        <v>37515</v>
      </c>
      <c r="F366" s="1">
        <v>3001.2</v>
      </c>
      <c r="G366" s="1">
        <v>34513.800000000003</v>
      </c>
      <c r="H366" s="1">
        <v>25010</v>
      </c>
    </row>
    <row r="367" spans="2:8" x14ac:dyDescent="0.25">
      <c r="B367" s="12">
        <v>708</v>
      </c>
      <c r="C367" s="1">
        <v>5</v>
      </c>
      <c r="D367" s="1">
        <v>20</v>
      </c>
      <c r="E367" s="1">
        <v>14160</v>
      </c>
      <c r="F367" s="1">
        <v>1132.8</v>
      </c>
      <c r="G367" s="1">
        <v>13027.2</v>
      </c>
      <c r="H367" s="1">
        <v>7080</v>
      </c>
    </row>
    <row r="368" spans="2:8" x14ac:dyDescent="0.25">
      <c r="B368" s="12">
        <v>645</v>
      </c>
      <c r="C368" s="1">
        <v>5</v>
      </c>
      <c r="D368" s="1">
        <v>20</v>
      </c>
      <c r="E368" s="1">
        <v>12900</v>
      </c>
      <c r="F368" s="1">
        <v>1032</v>
      </c>
      <c r="G368" s="1">
        <v>11868</v>
      </c>
      <c r="H368" s="1">
        <v>6450</v>
      </c>
    </row>
    <row r="369" spans="2:8" x14ac:dyDescent="0.25">
      <c r="B369" s="12">
        <v>1562</v>
      </c>
      <c r="C369" s="1">
        <v>5</v>
      </c>
      <c r="D369" s="1">
        <v>300</v>
      </c>
      <c r="E369" s="1">
        <v>468600</v>
      </c>
      <c r="F369" s="1">
        <v>37488</v>
      </c>
      <c r="G369" s="1">
        <v>431112</v>
      </c>
      <c r="H369" s="1">
        <v>390500</v>
      </c>
    </row>
    <row r="370" spans="2:8" x14ac:dyDescent="0.25">
      <c r="B370" s="12">
        <v>1283</v>
      </c>
      <c r="C370" s="1">
        <v>5</v>
      </c>
      <c r="D370" s="1">
        <v>300</v>
      </c>
      <c r="E370" s="1">
        <v>384900</v>
      </c>
      <c r="F370" s="1">
        <v>30792</v>
      </c>
      <c r="G370" s="1">
        <v>354108</v>
      </c>
      <c r="H370" s="1">
        <v>320750</v>
      </c>
    </row>
    <row r="371" spans="2:8" x14ac:dyDescent="0.25">
      <c r="B371" s="12">
        <v>711</v>
      </c>
      <c r="C371" s="1">
        <v>5</v>
      </c>
      <c r="D371" s="1">
        <v>15</v>
      </c>
      <c r="E371" s="1">
        <v>10665</v>
      </c>
      <c r="F371" s="1">
        <v>853.2</v>
      </c>
      <c r="G371" s="1">
        <v>9811.7999999999993</v>
      </c>
      <c r="H371" s="1">
        <v>7110</v>
      </c>
    </row>
    <row r="372" spans="2:8" x14ac:dyDescent="0.25">
      <c r="B372" s="12">
        <v>1114</v>
      </c>
      <c r="C372" s="1">
        <v>10</v>
      </c>
      <c r="D372" s="1">
        <v>125</v>
      </c>
      <c r="E372" s="1">
        <v>139250</v>
      </c>
      <c r="F372" s="1">
        <v>11140</v>
      </c>
      <c r="G372" s="1">
        <v>128110</v>
      </c>
      <c r="H372" s="1">
        <v>133680</v>
      </c>
    </row>
    <row r="373" spans="2:8" x14ac:dyDescent="0.25">
      <c r="B373" s="12">
        <v>1259</v>
      </c>
      <c r="C373" s="1">
        <v>10</v>
      </c>
      <c r="D373" s="1">
        <v>7</v>
      </c>
      <c r="E373" s="1">
        <v>8813</v>
      </c>
      <c r="F373" s="1">
        <v>705.04</v>
      </c>
      <c r="G373" s="1">
        <v>8107.96</v>
      </c>
      <c r="H373" s="1">
        <v>6295</v>
      </c>
    </row>
    <row r="374" spans="2:8" x14ac:dyDescent="0.25">
      <c r="B374" s="12">
        <v>1095</v>
      </c>
      <c r="C374" s="1">
        <v>10</v>
      </c>
      <c r="D374" s="1">
        <v>7</v>
      </c>
      <c r="E374" s="1">
        <v>7665</v>
      </c>
      <c r="F374" s="1">
        <v>613.20000000000005</v>
      </c>
      <c r="G374" s="1">
        <v>7051.8</v>
      </c>
      <c r="H374" s="1">
        <v>5475</v>
      </c>
    </row>
    <row r="375" spans="2:8" x14ac:dyDescent="0.25">
      <c r="B375" s="12">
        <v>1366</v>
      </c>
      <c r="C375" s="1">
        <v>10</v>
      </c>
      <c r="D375" s="1">
        <v>20</v>
      </c>
      <c r="E375" s="1">
        <v>27320</v>
      </c>
      <c r="F375" s="1">
        <v>2185.6</v>
      </c>
      <c r="G375" s="1">
        <v>25134.400000000001</v>
      </c>
      <c r="H375" s="1">
        <v>13660</v>
      </c>
    </row>
    <row r="376" spans="2:8" x14ac:dyDescent="0.25">
      <c r="B376" s="12">
        <v>2460</v>
      </c>
      <c r="C376" s="1">
        <v>10</v>
      </c>
      <c r="D376" s="1">
        <v>300</v>
      </c>
      <c r="E376" s="1">
        <v>738000</v>
      </c>
      <c r="F376" s="1">
        <v>59040</v>
      </c>
      <c r="G376" s="1">
        <v>678960</v>
      </c>
      <c r="H376" s="1">
        <v>615000</v>
      </c>
    </row>
    <row r="377" spans="2:8" x14ac:dyDescent="0.25">
      <c r="B377" s="12">
        <v>678</v>
      </c>
      <c r="C377" s="1">
        <v>10</v>
      </c>
      <c r="D377" s="1">
        <v>7</v>
      </c>
      <c r="E377" s="1">
        <v>4746</v>
      </c>
      <c r="F377" s="1">
        <v>379.68</v>
      </c>
      <c r="G377" s="1">
        <v>4366.32</v>
      </c>
      <c r="H377" s="1">
        <v>3390</v>
      </c>
    </row>
    <row r="378" spans="2:8" x14ac:dyDescent="0.25">
      <c r="B378" s="12">
        <v>1598</v>
      </c>
      <c r="C378" s="1">
        <v>10</v>
      </c>
      <c r="D378" s="1">
        <v>7</v>
      </c>
      <c r="E378" s="1">
        <v>11186</v>
      </c>
      <c r="F378" s="1">
        <v>894.88</v>
      </c>
      <c r="G378" s="1">
        <v>10291.120000000001</v>
      </c>
      <c r="H378" s="1">
        <v>7990</v>
      </c>
    </row>
    <row r="379" spans="2:8" x14ac:dyDescent="0.25">
      <c r="B379" s="12">
        <v>2409</v>
      </c>
      <c r="C379" s="1">
        <v>10</v>
      </c>
      <c r="D379" s="1">
        <v>7</v>
      </c>
      <c r="E379" s="1">
        <v>16863</v>
      </c>
      <c r="F379" s="1">
        <v>1349.04</v>
      </c>
      <c r="G379" s="1">
        <v>15513.96</v>
      </c>
      <c r="H379" s="1">
        <v>12045</v>
      </c>
    </row>
    <row r="380" spans="2:8" x14ac:dyDescent="0.25">
      <c r="B380" s="12">
        <v>1934</v>
      </c>
      <c r="C380" s="1">
        <v>10</v>
      </c>
      <c r="D380" s="1">
        <v>20</v>
      </c>
      <c r="E380" s="1">
        <v>38680</v>
      </c>
      <c r="F380" s="1">
        <v>3094.4</v>
      </c>
      <c r="G380" s="1">
        <v>35585.599999999999</v>
      </c>
      <c r="H380" s="1">
        <v>19340</v>
      </c>
    </row>
    <row r="381" spans="2:8" x14ac:dyDescent="0.25">
      <c r="B381" s="12">
        <v>2993</v>
      </c>
      <c r="C381" s="1">
        <v>10</v>
      </c>
      <c r="D381" s="1">
        <v>20</v>
      </c>
      <c r="E381" s="1">
        <v>59860</v>
      </c>
      <c r="F381" s="1">
        <v>4788.8</v>
      </c>
      <c r="G381" s="1">
        <v>55071.199999999997</v>
      </c>
      <c r="H381" s="1">
        <v>29930</v>
      </c>
    </row>
    <row r="382" spans="2:8" x14ac:dyDescent="0.25">
      <c r="B382" s="12">
        <v>2146</v>
      </c>
      <c r="C382" s="1">
        <v>10</v>
      </c>
      <c r="D382" s="1">
        <v>350</v>
      </c>
      <c r="E382" s="1">
        <v>751100</v>
      </c>
      <c r="F382" s="1">
        <v>60088</v>
      </c>
      <c r="G382" s="1">
        <v>691012</v>
      </c>
      <c r="H382" s="1">
        <v>557960</v>
      </c>
    </row>
    <row r="383" spans="2:8" x14ac:dyDescent="0.25">
      <c r="B383" s="12">
        <v>1946</v>
      </c>
      <c r="C383" s="1">
        <v>10</v>
      </c>
      <c r="D383" s="1">
        <v>7</v>
      </c>
      <c r="E383" s="1">
        <v>13622</v>
      </c>
      <c r="F383" s="1">
        <v>1089.76</v>
      </c>
      <c r="G383" s="1">
        <v>12532.24</v>
      </c>
      <c r="H383" s="1">
        <v>9730</v>
      </c>
    </row>
    <row r="384" spans="2:8" x14ac:dyDescent="0.25">
      <c r="B384" s="12">
        <v>1362</v>
      </c>
      <c r="C384" s="1">
        <v>10</v>
      </c>
      <c r="D384" s="1">
        <v>350</v>
      </c>
      <c r="E384" s="1">
        <v>476700</v>
      </c>
      <c r="F384" s="1">
        <v>38136</v>
      </c>
      <c r="G384" s="1">
        <v>438564</v>
      </c>
      <c r="H384" s="1">
        <v>354120</v>
      </c>
    </row>
    <row r="385" spans="2:8" x14ac:dyDescent="0.25">
      <c r="B385" s="12">
        <v>598</v>
      </c>
      <c r="C385" s="1">
        <v>120</v>
      </c>
      <c r="D385" s="1">
        <v>12</v>
      </c>
      <c r="E385" s="1">
        <v>7176</v>
      </c>
      <c r="F385" s="1">
        <v>574.08000000000004</v>
      </c>
      <c r="G385" s="1">
        <v>6601.92</v>
      </c>
      <c r="H385" s="1">
        <v>1794</v>
      </c>
    </row>
    <row r="386" spans="2:8" x14ac:dyDescent="0.25">
      <c r="B386" s="12">
        <v>2907</v>
      </c>
      <c r="C386" s="1">
        <v>120</v>
      </c>
      <c r="D386" s="1">
        <v>7</v>
      </c>
      <c r="E386" s="1">
        <v>20349</v>
      </c>
      <c r="F386" s="1">
        <v>1627.92</v>
      </c>
      <c r="G386" s="1">
        <v>18721.080000000002</v>
      </c>
      <c r="H386" s="1">
        <v>14535</v>
      </c>
    </row>
    <row r="387" spans="2:8" x14ac:dyDescent="0.25">
      <c r="B387" s="12">
        <v>2338</v>
      </c>
      <c r="C387" s="1">
        <v>120</v>
      </c>
      <c r="D387" s="1">
        <v>7</v>
      </c>
      <c r="E387" s="1">
        <v>16366</v>
      </c>
      <c r="F387" s="1">
        <v>1309.28</v>
      </c>
      <c r="G387" s="1">
        <v>15056.72</v>
      </c>
      <c r="H387" s="1">
        <v>11690</v>
      </c>
    </row>
    <row r="388" spans="2:8" x14ac:dyDescent="0.25">
      <c r="B388" s="12">
        <v>386</v>
      </c>
      <c r="C388" s="1">
        <v>120</v>
      </c>
      <c r="D388" s="1">
        <v>300</v>
      </c>
      <c r="E388" s="1">
        <v>115800</v>
      </c>
      <c r="F388" s="1">
        <v>9264</v>
      </c>
      <c r="G388" s="1">
        <v>106536</v>
      </c>
      <c r="H388" s="1">
        <v>96500</v>
      </c>
    </row>
    <row r="389" spans="2:8" x14ac:dyDescent="0.25">
      <c r="B389" s="12">
        <v>635</v>
      </c>
      <c r="C389" s="1">
        <v>120</v>
      </c>
      <c r="D389" s="1">
        <v>300</v>
      </c>
      <c r="E389" s="1">
        <v>190500</v>
      </c>
      <c r="F389" s="1">
        <v>15240</v>
      </c>
      <c r="G389" s="1">
        <v>175260</v>
      </c>
      <c r="H389" s="1">
        <v>158750</v>
      </c>
    </row>
    <row r="390" spans="2:8" x14ac:dyDescent="0.25">
      <c r="B390" s="12">
        <v>574.5</v>
      </c>
      <c r="C390" s="1">
        <v>250</v>
      </c>
      <c r="D390" s="1">
        <v>350</v>
      </c>
      <c r="E390" s="1">
        <v>201075</v>
      </c>
      <c r="F390" s="1">
        <v>16086</v>
      </c>
      <c r="G390" s="1">
        <v>184989</v>
      </c>
      <c r="H390" s="1">
        <v>149370</v>
      </c>
    </row>
    <row r="391" spans="2:8" x14ac:dyDescent="0.25">
      <c r="B391" s="12">
        <v>2338</v>
      </c>
      <c r="C391" s="1">
        <v>250</v>
      </c>
      <c r="D391" s="1">
        <v>7</v>
      </c>
      <c r="E391" s="1">
        <v>16366</v>
      </c>
      <c r="F391" s="1">
        <v>1309.28</v>
      </c>
      <c r="G391" s="1">
        <v>15056.72</v>
      </c>
      <c r="H391" s="1">
        <v>11690</v>
      </c>
    </row>
    <row r="392" spans="2:8" x14ac:dyDescent="0.25">
      <c r="B392" s="12">
        <v>381</v>
      </c>
      <c r="C392" s="1">
        <v>250</v>
      </c>
      <c r="D392" s="1">
        <v>350</v>
      </c>
      <c r="E392" s="1">
        <v>133350</v>
      </c>
      <c r="F392" s="1">
        <v>10668</v>
      </c>
      <c r="G392" s="1">
        <v>122682</v>
      </c>
      <c r="H392" s="1">
        <v>99060</v>
      </c>
    </row>
    <row r="393" spans="2:8" x14ac:dyDescent="0.25">
      <c r="B393" s="12">
        <v>422</v>
      </c>
      <c r="C393" s="1">
        <v>250</v>
      </c>
      <c r="D393" s="1">
        <v>350</v>
      </c>
      <c r="E393" s="1">
        <v>147700</v>
      </c>
      <c r="F393" s="1">
        <v>11816</v>
      </c>
      <c r="G393" s="1">
        <v>135884</v>
      </c>
      <c r="H393" s="1">
        <v>109720</v>
      </c>
    </row>
    <row r="394" spans="2:8" x14ac:dyDescent="0.25">
      <c r="B394" s="12">
        <v>2134</v>
      </c>
      <c r="C394" s="1">
        <v>250</v>
      </c>
      <c r="D394" s="1">
        <v>300</v>
      </c>
      <c r="E394" s="1">
        <v>640200</v>
      </c>
      <c r="F394" s="1">
        <v>51216</v>
      </c>
      <c r="G394" s="1">
        <v>588984</v>
      </c>
      <c r="H394" s="1">
        <v>533500</v>
      </c>
    </row>
    <row r="395" spans="2:8" x14ac:dyDescent="0.25">
      <c r="B395" s="12">
        <v>808</v>
      </c>
      <c r="C395" s="1">
        <v>250</v>
      </c>
      <c r="D395" s="1">
        <v>300</v>
      </c>
      <c r="E395" s="1">
        <v>242400</v>
      </c>
      <c r="F395" s="1">
        <v>19392</v>
      </c>
      <c r="G395" s="1">
        <v>223008</v>
      </c>
      <c r="H395" s="1">
        <v>202000</v>
      </c>
    </row>
    <row r="396" spans="2:8" x14ac:dyDescent="0.25">
      <c r="B396" s="12">
        <v>708</v>
      </c>
      <c r="C396" s="1">
        <v>260</v>
      </c>
      <c r="D396" s="1">
        <v>20</v>
      </c>
      <c r="E396" s="1">
        <v>14160</v>
      </c>
      <c r="F396" s="1">
        <v>1132.8</v>
      </c>
      <c r="G396" s="1">
        <v>13027.2</v>
      </c>
      <c r="H396" s="1">
        <v>7080</v>
      </c>
    </row>
    <row r="397" spans="2:8" x14ac:dyDescent="0.25">
      <c r="B397" s="12">
        <v>2907</v>
      </c>
      <c r="C397" s="1">
        <v>260</v>
      </c>
      <c r="D397" s="1">
        <v>7</v>
      </c>
      <c r="E397" s="1">
        <v>20349</v>
      </c>
      <c r="F397" s="1">
        <v>1627.92</v>
      </c>
      <c r="G397" s="1">
        <v>18721.080000000002</v>
      </c>
      <c r="H397" s="1">
        <v>14535</v>
      </c>
    </row>
    <row r="398" spans="2:8" x14ac:dyDescent="0.25">
      <c r="B398" s="12">
        <v>1366</v>
      </c>
      <c r="C398" s="1">
        <v>260</v>
      </c>
      <c r="D398" s="1">
        <v>20</v>
      </c>
      <c r="E398" s="1">
        <v>27320</v>
      </c>
      <c r="F398" s="1">
        <v>2185.6</v>
      </c>
      <c r="G398" s="1">
        <v>25134.400000000001</v>
      </c>
      <c r="H398" s="1">
        <v>13660</v>
      </c>
    </row>
    <row r="399" spans="2:8" x14ac:dyDescent="0.25">
      <c r="B399" s="12">
        <v>2460</v>
      </c>
      <c r="C399" s="1">
        <v>260</v>
      </c>
      <c r="D399" s="1">
        <v>300</v>
      </c>
      <c r="E399" s="1">
        <v>738000</v>
      </c>
      <c r="F399" s="1">
        <v>59040</v>
      </c>
      <c r="G399" s="1">
        <v>678960</v>
      </c>
      <c r="H399" s="1">
        <v>615000</v>
      </c>
    </row>
    <row r="400" spans="2:8" x14ac:dyDescent="0.25">
      <c r="B400" s="12">
        <v>1520</v>
      </c>
      <c r="C400" s="1">
        <v>260</v>
      </c>
      <c r="D400" s="1">
        <v>20</v>
      </c>
      <c r="E400" s="1">
        <v>30400</v>
      </c>
      <c r="F400" s="1">
        <v>2432</v>
      </c>
      <c r="G400" s="1">
        <v>27968</v>
      </c>
      <c r="H400" s="1">
        <v>15200</v>
      </c>
    </row>
    <row r="401" spans="2:8" x14ac:dyDescent="0.25">
      <c r="B401" s="12">
        <v>711</v>
      </c>
      <c r="C401" s="1">
        <v>260</v>
      </c>
      <c r="D401" s="1">
        <v>15</v>
      </c>
      <c r="E401" s="1">
        <v>10665</v>
      </c>
      <c r="F401" s="1">
        <v>853.2</v>
      </c>
      <c r="G401" s="1">
        <v>9811.7999999999993</v>
      </c>
      <c r="H401" s="1">
        <v>7110</v>
      </c>
    </row>
    <row r="402" spans="2:8" x14ac:dyDescent="0.25">
      <c r="B402" s="12">
        <v>1375</v>
      </c>
      <c r="C402" s="1">
        <v>260</v>
      </c>
      <c r="D402" s="1">
        <v>12</v>
      </c>
      <c r="E402" s="1">
        <v>16500</v>
      </c>
      <c r="F402" s="1">
        <v>1320</v>
      </c>
      <c r="G402" s="1">
        <v>15180</v>
      </c>
      <c r="H402" s="1">
        <v>4125</v>
      </c>
    </row>
    <row r="403" spans="2:8" x14ac:dyDescent="0.25">
      <c r="B403" s="12">
        <v>635</v>
      </c>
      <c r="C403" s="1">
        <v>260</v>
      </c>
      <c r="D403" s="1">
        <v>300</v>
      </c>
      <c r="E403" s="1">
        <v>190500</v>
      </c>
      <c r="F403" s="1">
        <v>15240</v>
      </c>
      <c r="G403" s="1">
        <v>175260</v>
      </c>
      <c r="H403" s="1">
        <v>158750</v>
      </c>
    </row>
    <row r="404" spans="2:8" x14ac:dyDescent="0.25">
      <c r="B404" s="12">
        <v>436.5</v>
      </c>
      <c r="C404" s="1">
        <v>250</v>
      </c>
      <c r="D404" s="1">
        <v>20</v>
      </c>
      <c r="E404" s="1">
        <v>8730</v>
      </c>
      <c r="F404" s="1">
        <v>698.40000000000009</v>
      </c>
      <c r="G404" s="1">
        <v>8031.5999999999995</v>
      </c>
      <c r="H404" s="1">
        <v>4365</v>
      </c>
    </row>
    <row r="405" spans="2:8" x14ac:dyDescent="0.25">
      <c r="B405" s="12">
        <v>1094</v>
      </c>
      <c r="C405" s="1">
        <v>3</v>
      </c>
      <c r="D405" s="1">
        <v>300</v>
      </c>
      <c r="E405" s="1">
        <v>328200</v>
      </c>
      <c r="F405" s="1">
        <v>29538</v>
      </c>
      <c r="G405" s="1">
        <v>298662</v>
      </c>
      <c r="H405" s="1">
        <v>273500</v>
      </c>
    </row>
    <row r="406" spans="2:8" x14ac:dyDescent="0.25">
      <c r="B406" s="12">
        <v>367</v>
      </c>
      <c r="C406" s="1">
        <v>3</v>
      </c>
      <c r="D406" s="1">
        <v>12</v>
      </c>
      <c r="E406" s="1">
        <v>4404</v>
      </c>
      <c r="F406" s="1">
        <v>396.36</v>
      </c>
      <c r="G406" s="1">
        <v>4007.64</v>
      </c>
      <c r="H406" s="1">
        <v>1101</v>
      </c>
    </row>
    <row r="407" spans="2:8" x14ac:dyDescent="0.25">
      <c r="B407" s="12">
        <v>3802.5</v>
      </c>
      <c r="C407" s="1">
        <v>5</v>
      </c>
      <c r="D407" s="1">
        <v>300</v>
      </c>
      <c r="E407" s="1">
        <v>1140750</v>
      </c>
      <c r="F407" s="1">
        <v>102667.5</v>
      </c>
      <c r="G407" s="1">
        <v>1038082.5</v>
      </c>
      <c r="H407" s="1">
        <v>950625</v>
      </c>
    </row>
    <row r="408" spans="2:8" x14ac:dyDescent="0.25">
      <c r="B408" s="12">
        <v>1666</v>
      </c>
      <c r="C408" s="1">
        <v>5</v>
      </c>
      <c r="D408" s="1">
        <v>350</v>
      </c>
      <c r="E408" s="1">
        <v>583100</v>
      </c>
      <c r="F408" s="1">
        <v>52479</v>
      </c>
      <c r="G408" s="1">
        <v>530621</v>
      </c>
      <c r="H408" s="1">
        <v>433160</v>
      </c>
    </row>
    <row r="409" spans="2:8" x14ac:dyDescent="0.25">
      <c r="B409" s="12">
        <v>322</v>
      </c>
      <c r="C409" s="1">
        <v>5</v>
      </c>
      <c r="D409" s="1">
        <v>300</v>
      </c>
      <c r="E409" s="1">
        <v>96600</v>
      </c>
      <c r="F409" s="1">
        <v>8694</v>
      </c>
      <c r="G409" s="1">
        <v>87906</v>
      </c>
      <c r="H409" s="1">
        <v>80500</v>
      </c>
    </row>
    <row r="410" spans="2:8" x14ac:dyDescent="0.25">
      <c r="B410" s="12">
        <v>2321</v>
      </c>
      <c r="C410" s="1">
        <v>5</v>
      </c>
      <c r="D410" s="1">
        <v>12</v>
      </c>
      <c r="E410" s="1">
        <v>27852</v>
      </c>
      <c r="F410" s="1">
        <v>2506.6799999999998</v>
      </c>
      <c r="G410" s="1">
        <v>25345.32</v>
      </c>
      <c r="H410" s="1">
        <v>6963</v>
      </c>
    </row>
    <row r="411" spans="2:8" x14ac:dyDescent="0.25">
      <c r="B411" s="12">
        <v>1857</v>
      </c>
      <c r="C411" s="1">
        <v>5</v>
      </c>
      <c r="D411" s="1">
        <v>125</v>
      </c>
      <c r="E411" s="1">
        <v>232125</v>
      </c>
      <c r="F411" s="1">
        <v>20891.25</v>
      </c>
      <c r="G411" s="1">
        <v>211233.75</v>
      </c>
      <c r="H411" s="1">
        <v>222840</v>
      </c>
    </row>
    <row r="412" spans="2:8" x14ac:dyDescent="0.25">
      <c r="B412" s="12">
        <v>1611</v>
      </c>
      <c r="C412" s="1">
        <v>5</v>
      </c>
      <c r="D412" s="1">
        <v>7</v>
      </c>
      <c r="E412" s="1">
        <v>11277</v>
      </c>
      <c r="F412" s="1">
        <v>1014.93</v>
      </c>
      <c r="G412" s="1">
        <v>10262.07</v>
      </c>
      <c r="H412" s="1">
        <v>8055</v>
      </c>
    </row>
    <row r="413" spans="2:8" x14ac:dyDescent="0.25">
      <c r="B413" s="12">
        <v>2797</v>
      </c>
      <c r="C413" s="1">
        <v>5</v>
      </c>
      <c r="D413" s="1">
        <v>125</v>
      </c>
      <c r="E413" s="1">
        <v>349625</v>
      </c>
      <c r="F413" s="1">
        <v>31466.25</v>
      </c>
      <c r="G413" s="1">
        <v>318158.75</v>
      </c>
      <c r="H413" s="1">
        <v>335640</v>
      </c>
    </row>
    <row r="414" spans="2:8" x14ac:dyDescent="0.25">
      <c r="B414" s="12">
        <v>334</v>
      </c>
      <c r="C414" s="1">
        <v>5</v>
      </c>
      <c r="D414" s="1">
        <v>300</v>
      </c>
      <c r="E414" s="1">
        <v>100200</v>
      </c>
      <c r="F414" s="1">
        <v>9018</v>
      </c>
      <c r="G414" s="1">
        <v>91182</v>
      </c>
      <c r="H414" s="1">
        <v>83500</v>
      </c>
    </row>
    <row r="415" spans="2:8" x14ac:dyDescent="0.25">
      <c r="B415" s="12">
        <v>2565</v>
      </c>
      <c r="C415" s="1">
        <v>10</v>
      </c>
      <c r="D415" s="1">
        <v>300</v>
      </c>
      <c r="E415" s="1">
        <v>769500</v>
      </c>
      <c r="F415" s="1">
        <v>69255</v>
      </c>
      <c r="G415" s="1">
        <v>700245</v>
      </c>
      <c r="H415" s="1">
        <v>641250</v>
      </c>
    </row>
    <row r="416" spans="2:8" x14ac:dyDescent="0.25">
      <c r="B416" s="12">
        <v>2417</v>
      </c>
      <c r="C416" s="1">
        <v>10</v>
      </c>
      <c r="D416" s="1">
        <v>350</v>
      </c>
      <c r="E416" s="1">
        <v>845950</v>
      </c>
      <c r="F416" s="1">
        <v>76135.5</v>
      </c>
      <c r="G416" s="1">
        <v>769814.5</v>
      </c>
      <c r="H416" s="1">
        <v>628420</v>
      </c>
    </row>
    <row r="417" spans="2:8" x14ac:dyDescent="0.25">
      <c r="B417" s="12">
        <v>3675</v>
      </c>
      <c r="C417" s="1">
        <v>10</v>
      </c>
      <c r="D417" s="1">
        <v>15</v>
      </c>
      <c r="E417" s="1">
        <v>55125</v>
      </c>
      <c r="F417" s="1">
        <v>4961.25</v>
      </c>
      <c r="G417" s="1">
        <v>50163.75</v>
      </c>
      <c r="H417" s="1">
        <v>36750</v>
      </c>
    </row>
    <row r="418" spans="2:8" x14ac:dyDescent="0.25">
      <c r="B418" s="12">
        <v>1094</v>
      </c>
      <c r="C418" s="1">
        <v>10</v>
      </c>
      <c r="D418" s="1">
        <v>300</v>
      </c>
      <c r="E418" s="1">
        <v>328200</v>
      </c>
      <c r="F418" s="1">
        <v>29538</v>
      </c>
      <c r="G418" s="1">
        <v>298662</v>
      </c>
      <c r="H418" s="1">
        <v>273500</v>
      </c>
    </row>
    <row r="419" spans="2:8" x14ac:dyDescent="0.25">
      <c r="B419" s="12">
        <v>1227</v>
      </c>
      <c r="C419" s="1">
        <v>10</v>
      </c>
      <c r="D419" s="1">
        <v>15</v>
      </c>
      <c r="E419" s="1">
        <v>18405</v>
      </c>
      <c r="F419" s="1">
        <v>1656.45</v>
      </c>
      <c r="G419" s="1">
        <v>16748.55</v>
      </c>
      <c r="H419" s="1">
        <v>12270</v>
      </c>
    </row>
    <row r="420" spans="2:8" x14ac:dyDescent="0.25">
      <c r="B420" s="12">
        <v>367</v>
      </c>
      <c r="C420" s="1">
        <v>10</v>
      </c>
      <c r="D420" s="1">
        <v>12</v>
      </c>
      <c r="E420" s="1">
        <v>4404</v>
      </c>
      <c r="F420" s="1">
        <v>396.36</v>
      </c>
      <c r="G420" s="1">
        <v>4007.64</v>
      </c>
      <c r="H420" s="1">
        <v>1101</v>
      </c>
    </row>
    <row r="421" spans="2:8" x14ac:dyDescent="0.25">
      <c r="B421" s="12">
        <v>1324</v>
      </c>
      <c r="C421" s="1">
        <v>10</v>
      </c>
      <c r="D421" s="1">
        <v>300</v>
      </c>
      <c r="E421" s="1">
        <v>397200</v>
      </c>
      <c r="F421" s="1">
        <v>35748</v>
      </c>
      <c r="G421" s="1">
        <v>361452</v>
      </c>
      <c r="H421" s="1">
        <v>331000</v>
      </c>
    </row>
    <row r="422" spans="2:8" x14ac:dyDescent="0.25">
      <c r="B422" s="12">
        <v>1775</v>
      </c>
      <c r="C422" s="1">
        <v>10</v>
      </c>
      <c r="D422" s="1">
        <v>12</v>
      </c>
      <c r="E422" s="1">
        <v>21300</v>
      </c>
      <c r="F422" s="1">
        <v>1917</v>
      </c>
      <c r="G422" s="1">
        <v>19383</v>
      </c>
      <c r="H422" s="1">
        <v>5325</v>
      </c>
    </row>
    <row r="423" spans="2:8" x14ac:dyDescent="0.25">
      <c r="B423" s="12">
        <v>2797</v>
      </c>
      <c r="C423" s="1">
        <v>10</v>
      </c>
      <c r="D423" s="1">
        <v>125</v>
      </c>
      <c r="E423" s="1">
        <v>349625</v>
      </c>
      <c r="F423" s="1">
        <v>31466.25</v>
      </c>
      <c r="G423" s="1">
        <v>318158.75</v>
      </c>
      <c r="H423" s="1">
        <v>335640</v>
      </c>
    </row>
    <row r="424" spans="2:8" x14ac:dyDescent="0.25">
      <c r="B424" s="12">
        <v>245</v>
      </c>
      <c r="C424" s="1">
        <v>120</v>
      </c>
      <c r="D424" s="1">
        <v>15</v>
      </c>
      <c r="E424" s="1">
        <v>3675</v>
      </c>
      <c r="F424" s="1">
        <v>330.75</v>
      </c>
      <c r="G424" s="1">
        <v>3344.25</v>
      </c>
      <c r="H424" s="1">
        <v>2450</v>
      </c>
    </row>
    <row r="425" spans="2:8" x14ac:dyDescent="0.25">
      <c r="B425" s="12">
        <v>3793.5</v>
      </c>
      <c r="C425" s="1">
        <v>120</v>
      </c>
      <c r="D425" s="1">
        <v>300</v>
      </c>
      <c r="E425" s="1">
        <v>1138050</v>
      </c>
      <c r="F425" s="1">
        <v>102424.5</v>
      </c>
      <c r="G425" s="1">
        <v>1035625.5</v>
      </c>
      <c r="H425" s="1">
        <v>948375</v>
      </c>
    </row>
    <row r="426" spans="2:8" x14ac:dyDescent="0.25">
      <c r="B426" s="12">
        <v>1307</v>
      </c>
      <c r="C426" s="1">
        <v>120</v>
      </c>
      <c r="D426" s="1">
        <v>350</v>
      </c>
      <c r="E426" s="1">
        <v>457450</v>
      </c>
      <c r="F426" s="1">
        <v>41170.5</v>
      </c>
      <c r="G426" s="1">
        <v>416279.5</v>
      </c>
      <c r="H426" s="1">
        <v>339820</v>
      </c>
    </row>
    <row r="427" spans="2:8" x14ac:dyDescent="0.25">
      <c r="B427" s="12">
        <v>567</v>
      </c>
      <c r="C427" s="1">
        <v>120</v>
      </c>
      <c r="D427" s="1">
        <v>125</v>
      </c>
      <c r="E427" s="1">
        <v>70875</v>
      </c>
      <c r="F427" s="1">
        <v>6378.75</v>
      </c>
      <c r="G427" s="1">
        <v>64496.25</v>
      </c>
      <c r="H427" s="1">
        <v>68040</v>
      </c>
    </row>
    <row r="428" spans="2:8" x14ac:dyDescent="0.25">
      <c r="B428" s="12">
        <v>2110</v>
      </c>
      <c r="C428" s="1">
        <v>120</v>
      </c>
      <c r="D428" s="1">
        <v>125</v>
      </c>
      <c r="E428" s="1">
        <v>263750</v>
      </c>
      <c r="F428" s="1">
        <v>23737.5</v>
      </c>
      <c r="G428" s="1">
        <v>240012.5</v>
      </c>
      <c r="H428" s="1">
        <v>253200</v>
      </c>
    </row>
    <row r="429" spans="2:8" x14ac:dyDescent="0.25">
      <c r="B429" s="12">
        <v>1269</v>
      </c>
      <c r="C429" s="1">
        <v>120</v>
      </c>
      <c r="D429" s="1">
        <v>350</v>
      </c>
      <c r="E429" s="1">
        <v>444150</v>
      </c>
      <c r="F429" s="1">
        <v>39973.5</v>
      </c>
      <c r="G429" s="1">
        <v>404176.5</v>
      </c>
      <c r="H429" s="1">
        <v>329940</v>
      </c>
    </row>
    <row r="430" spans="2:8" x14ac:dyDescent="0.25">
      <c r="B430" s="12">
        <v>1956</v>
      </c>
      <c r="C430" s="1">
        <v>250</v>
      </c>
      <c r="D430" s="1">
        <v>12</v>
      </c>
      <c r="E430" s="1">
        <v>23472</v>
      </c>
      <c r="F430" s="1">
        <v>2112.48</v>
      </c>
      <c r="G430" s="1">
        <v>21359.52</v>
      </c>
      <c r="H430" s="1">
        <v>5868</v>
      </c>
    </row>
    <row r="431" spans="2:8" x14ac:dyDescent="0.25">
      <c r="B431" s="12">
        <v>2659</v>
      </c>
      <c r="C431" s="1">
        <v>250</v>
      </c>
      <c r="D431" s="1">
        <v>300</v>
      </c>
      <c r="E431" s="1">
        <v>797700</v>
      </c>
      <c r="F431" s="1">
        <v>71793</v>
      </c>
      <c r="G431" s="1">
        <v>725907</v>
      </c>
      <c r="H431" s="1">
        <v>664750</v>
      </c>
    </row>
    <row r="432" spans="2:8" x14ac:dyDescent="0.25">
      <c r="B432" s="12">
        <v>1351.5</v>
      </c>
      <c r="C432" s="1">
        <v>250</v>
      </c>
      <c r="D432" s="1">
        <v>350</v>
      </c>
      <c r="E432" s="1">
        <v>473025</v>
      </c>
      <c r="F432" s="1">
        <v>42572.25</v>
      </c>
      <c r="G432" s="1">
        <v>430452.75</v>
      </c>
      <c r="H432" s="1">
        <v>351390</v>
      </c>
    </row>
    <row r="433" spans="2:8" x14ac:dyDescent="0.25">
      <c r="B433" s="12">
        <v>880</v>
      </c>
      <c r="C433" s="1">
        <v>250</v>
      </c>
      <c r="D433" s="1">
        <v>12</v>
      </c>
      <c r="E433" s="1">
        <v>10560</v>
      </c>
      <c r="F433" s="1">
        <v>950.4</v>
      </c>
      <c r="G433" s="1">
        <v>9609.6</v>
      </c>
      <c r="H433" s="1">
        <v>2640</v>
      </c>
    </row>
    <row r="434" spans="2:8" x14ac:dyDescent="0.25">
      <c r="B434" s="12">
        <v>1867</v>
      </c>
      <c r="C434" s="1">
        <v>250</v>
      </c>
      <c r="D434" s="1">
        <v>300</v>
      </c>
      <c r="E434" s="1">
        <v>560100</v>
      </c>
      <c r="F434" s="1">
        <v>50409</v>
      </c>
      <c r="G434" s="1">
        <v>509691</v>
      </c>
      <c r="H434" s="1">
        <v>466750</v>
      </c>
    </row>
    <row r="435" spans="2:8" x14ac:dyDescent="0.25">
      <c r="B435" s="12">
        <v>2234</v>
      </c>
      <c r="C435" s="1">
        <v>250</v>
      </c>
      <c r="D435" s="1">
        <v>12</v>
      </c>
      <c r="E435" s="1">
        <v>26808</v>
      </c>
      <c r="F435" s="1">
        <v>2412.7199999999998</v>
      </c>
      <c r="G435" s="1">
        <v>24395.279999999999</v>
      </c>
      <c r="H435" s="1">
        <v>6702</v>
      </c>
    </row>
    <row r="436" spans="2:8" x14ac:dyDescent="0.25">
      <c r="B436" s="12">
        <v>1227</v>
      </c>
      <c r="C436" s="1">
        <v>250</v>
      </c>
      <c r="D436" s="1">
        <v>15</v>
      </c>
      <c r="E436" s="1">
        <v>18405</v>
      </c>
      <c r="F436" s="1">
        <v>1656.45</v>
      </c>
      <c r="G436" s="1">
        <v>16748.55</v>
      </c>
      <c r="H436" s="1">
        <v>12270</v>
      </c>
    </row>
    <row r="437" spans="2:8" x14ac:dyDescent="0.25">
      <c r="B437" s="12">
        <v>877</v>
      </c>
      <c r="C437" s="1">
        <v>250</v>
      </c>
      <c r="D437" s="1">
        <v>125</v>
      </c>
      <c r="E437" s="1">
        <v>109625</v>
      </c>
      <c r="F437" s="1">
        <v>9866.25</v>
      </c>
      <c r="G437" s="1">
        <v>99758.75</v>
      </c>
      <c r="H437" s="1">
        <v>105240</v>
      </c>
    </row>
    <row r="438" spans="2:8" x14ac:dyDescent="0.25">
      <c r="B438" s="12">
        <v>2071</v>
      </c>
      <c r="C438" s="1">
        <v>260</v>
      </c>
      <c r="D438" s="1">
        <v>350</v>
      </c>
      <c r="E438" s="1">
        <v>724850</v>
      </c>
      <c r="F438" s="1">
        <v>65236.5</v>
      </c>
      <c r="G438" s="1">
        <v>659613.5</v>
      </c>
      <c r="H438" s="1">
        <v>538460</v>
      </c>
    </row>
    <row r="439" spans="2:8" x14ac:dyDescent="0.25">
      <c r="B439" s="12">
        <v>1269</v>
      </c>
      <c r="C439" s="1">
        <v>260</v>
      </c>
      <c r="D439" s="1">
        <v>350</v>
      </c>
      <c r="E439" s="1">
        <v>444150</v>
      </c>
      <c r="F439" s="1">
        <v>39973.5</v>
      </c>
      <c r="G439" s="1">
        <v>404176.5</v>
      </c>
      <c r="H439" s="1">
        <v>329940</v>
      </c>
    </row>
    <row r="440" spans="2:8" x14ac:dyDescent="0.25">
      <c r="B440" s="12">
        <v>970</v>
      </c>
      <c r="C440" s="1">
        <v>260</v>
      </c>
      <c r="D440" s="1">
        <v>15</v>
      </c>
      <c r="E440" s="1">
        <v>14550</v>
      </c>
      <c r="F440" s="1">
        <v>1309.5</v>
      </c>
      <c r="G440" s="1">
        <v>13240.5</v>
      </c>
      <c r="H440" s="1">
        <v>9700</v>
      </c>
    </row>
    <row r="441" spans="2:8" x14ac:dyDescent="0.25">
      <c r="B441" s="12">
        <v>1694</v>
      </c>
      <c r="C441" s="1">
        <v>260</v>
      </c>
      <c r="D441" s="1">
        <v>20</v>
      </c>
      <c r="E441" s="1">
        <v>33880</v>
      </c>
      <c r="F441" s="1">
        <v>3049.2</v>
      </c>
      <c r="G441" s="1">
        <v>30830.799999999999</v>
      </c>
      <c r="H441" s="1">
        <v>16940</v>
      </c>
    </row>
    <row r="442" spans="2:8" x14ac:dyDescent="0.25">
      <c r="B442" s="12">
        <v>663</v>
      </c>
      <c r="C442" s="1">
        <v>3</v>
      </c>
      <c r="D442" s="1">
        <v>20</v>
      </c>
      <c r="E442" s="1">
        <v>13260</v>
      </c>
      <c r="F442" s="1">
        <v>1193.4000000000001</v>
      </c>
      <c r="G442" s="1">
        <v>12066.6</v>
      </c>
      <c r="H442" s="1">
        <v>6630</v>
      </c>
    </row>
    <row r="443" spans="2:8" x14ac:dyDescent="0.25">
      <c r="B443" s="12">
        <v>819</v>
      </c>
      <c r="C443" s="1">
        <v>3</v>
      </c>
      <c r="D443" s="1">
        <v>7</v>
      </c>
      <c r="E443" s="1">
        <v>5733</v>
      </c>
      <c r="F443" s="1">
        <v>515.97</v>
      </c>
      <c r="G443" s="1">
        <v>5217.03</v>
      </c>
      <c r="H443" s="1">
        <v>4095</v>
      </c>
    </row>
    <row r="444" spans="2:8" x14ac:dyDescent="0.25">
      <c r="B444" s="12">
        <v>1580</v>
      </c>
      <c r="C444" s="1">
        <v>3</v>
      </c>
      <c r="D444" s="1">
        <v>12</v>
      </c>
      <c r="E444" s="1">
        <v>18960</v>
      </c>
      <c r="F444" s="1">
        <v>1706.4</v>
      </c>
      <c r="G444" s="1">
        <v>17253.599999999999</v>
      </c>
      <c r="H444" s="1">
        <v>4740</v>
      </c>
    </row>
    <row r="445" spans="2:8" x14ac:dyDescent="0.25">
      <c r="B445" s="12">
        <v>521</v>
      </c>
      <c r="C445" s="1">
        <v>3</v>
      </c>
      <c r="D445" s="1">
        <v>7</v>
      </c>
      <c r="E445" s="1">
        <v>3647</v>
      </c>
      <c r="F445" s="1">
        <v>328.23</v>
      </c>
      <c r="G445" s="1">
        <v>3318.77</v>
      </c>
      <c r="H445" s="1">
        <v>2605</v>
      </c>
    </row>
    <row r="446" spans="2:8" x14ac:dyDescent="0.25">
      <c r="B446" s="12">
        <v>973</v>
      </c>
      <c r="C446" s="1">
        <v>10</v>
      </c>
      <c r="D446" s="1">
        <v>20</v>
      </c>
      <c r="E446" s="1">
        <v>19460</v>
      </c>
      <c r="F446" s="1">
        <v>1751.4</v>
      </c>
      <c r="G446" s="1">
        <v>17708.599999999999</v>
      </c>
      <c r="H446" s="1">
        <v>9730</v>
      </c>
    </row>
    <row r="447" spans="2:8" x14ac:dyDescent="0.25">
      <c r="B447" s="12">
        <v>1038</v>
      </c>
      <c r="C447" s="1">
        <v>10</v>
      </c>
      <c r="D447" s="1">
        <v>20</v>
      </c>
      <c r="E447" s="1">
        <v>20760</v>
      </c>
      <c r="F447" s="1">
        <v>1868.4</v>
      </c>
      <c r="G447" s="1">
        <v>18891.599999999999</v>
      </c>
      <c r="H447" s="1">
        <v>10380</v>
      </c>
    </row>
    <row r="448" spans="2:8" x14ac:dyDescent="0.25">
      <c r="B448" s="12">
        <v>360</v>
      </c>
      <c r="C448" s="1">
        <v>10</v>
      </c>
      <c r="D448" s="1">
        <v>7</v>
      </c>
      <c r="E448" s="1">
        <v>2520</v>
      </c>
      <c r="F448" s="1">
        <v>226.8</v>
      </c>
      <c r="G448" s="1">
        <v>2293.1999999999998</v>
      </c>
      <c r="H448" s="1">
        <v>1800</v>
      </c>
    </row>
    <row r="449" spans="2:8" x14ac:dyDescent="0.25">
      <c r="B449" s="12">
        <v>1967</v>
      </c>
      <c r="C449" s="1">
        <v>120</v>
      </c>
      <c r="D449" s="1">
        <v>12</v>
      </c>
      <c r="E449" s="1">
        <v>23604</v>
      </c>
      <c r="F449" s="1">
        <v>2124.36</v>
      </c>
      <c r="G449" s="1">
        <v>21479.64</v>
      </c>
      <c r="H449" s="1">
        <v>5901</v>
      </c>
    </row>
    <row r="450" spans="2:8" x14ac:dyDescent="0.25">
      <c r="B450" s="12">
        <v>2628</v>
      </c>
      <c r="C450" s="1">
        <v>120</v>
      </c>
      <c r="D450" s="1">
        <v>15</v>
      </c>
      <c r="E450" s="1">
        <v>39420</v>
      </c>
      <c r="F450" s="1">
        <v>3547.8</v>
      </c>
      <c r="G450" s="1">
        <v>35872.199999999997</v>
      </c>
      <c r="H450" s="1">
        <v>26280</v>
      </c>
    </row>
    <row r="451" spans="2:8" x14ac:dyDescent="0.25">
      <c r="B451" s="12">
        <v>360</v>
      </c>
      <c r="C451" s="1">
        <v>250</v>
      </c>
      <c r="D451" s="1">
        <v>7</v>
      </c>
      <c r="E451" s="1">
        <v>2520</v>
      </c>
      <c r="F451" s="1">
        <v>226.8</v>
      </c>
      <c r="G451" s="1">
        <v>2293.1999999999998</v>
      </c>
      <c r="H451" s="1">
        <v>1800</v>
      </c>
    </row>
    <row r="452" spans="2:8" x14ac:dyDescent="0.25">
      <c r="B452" s="12">
        <v>2682</v>
      </c>
      <c r="C452" s="1">
        <v>250</v>
      </c>
      <c r="D452" s="1">
        <v>20</v>
      </c>
      <c r="E452" s="1">
        <v>53640</v>
      </c>
      <c r="F452" s="1">
        <v>4827.6000000000004</v>
      </c>
      <c r="G452" s="1">
        <v>48812.4</v>
      </c>
      <c r="H452" s="1">
        <v>26820</v>
      </c>
    </row>
    <row r="453" spans="2:8" x14ac:dyDescent="0.25">
      <c r="B453" s="12">
        <v>521</v>
      </c>
      <c r="C453" s="1">
        <v>250</v>
      </c>
      <c r="D453" s="1">
        <v>7</v>
      </c>
      <c r="E453" s="1">
        <v>3647</v>
      </c>
      <c r="F453" s="1">
        <v>328.23</v>
      </c>
      <c r="G453" s="1">
        <v>3318.77</v>
      </c>
      <c r="H453" s="1">
        <v>2605</v>
      </c>
    </row>
    <row r="454" spans="2:8" x14ac:dyDescent="0.25">
      <c r="B454" s="12">
        <v>1038</v>
      </c>
      <c r="C454" s="1">
        <v>260</v>
      </c>
      <c r="D454" s="1">
        <v>20</v>
      </c>
      <c r="E454" s="1">
        <v>20760</v>
      </c>
      <c r="F454" s="1">
        <v>1868.4</v>
      </c>
      <c r="G454" s="1">
        <v>18891.599999999999</v>
      </c>
      <c r="H454" s="1">
        <v>10380</v>
      </c>
    </row>
    <row r="455" spans="2:8" x14ac:dyDescent="0.25">
      <c r="B455" s="12">
        <v>1630.5</v>
      </c>
      <c r="C455" s="1">
        <v>260</v>
      </c>
      <c r="D455" s="1">
        <v>15</v>
      </c>
      <c r="E455" s="1">
        <v>24457.5</v>
      </c>
      <c r="F455" s="1">
        <v>2201.1750000000002</v>
      </c>
      <c r="G455" s="1">
        <v>22256.324999999997</v>
      </c>
      <c r="H455" s="1">
        <v>16305</v>
      </c>
    </row>
    <row r="456" spans="2:8" x14ac:dyDescent="0.25">
      <c r="B456" s="12">
        <v>306</v>
      </c>
      <c r="C456" s="1">
        <v>260</v>
      </c>
      <c r="D456" s="1">
        <v>12</v>
      </c>
      <c r="E456" s="1">
        <v>3672</v>
      </c>
      <c r="F456" s="1">
        <v>330.48</v>
      </c>
      <c r="G456" s="1">
        <v>3341.52</v>
      </c>
      <c r="H456" s="1">
        <v>918</v>
      </c>
    </row>
    <row r="457" spans="2:8" x14ac:dyDescent="0.25">
      <c r="B457" s="12">
        <v>386</v>
      </c>
      <c r="C457" s="1">
        <v>3</v>
      </c>
      <c r="D457" s="1">
        <v>12</v>
      </c>
      <c r="E457" s="1">
        <v>4632</v>
      </c>
      <c r="F457" s="1">
        <v>463.2</v>
      </c>
      <c r="G457" s="1">
        <v>4168.8</v>
      </c>
      <c r="H457" s="1">
        <v>1158</v>
      </c>
    </row>
    <row r="458" spans="2:8" x14ac:dyDescent="0.25">
      <c r="B458" s="12">
        <v>2328</v>
      </c>
      <c r="C458" s="1">
        <v>5</v>
      </c>
      <c r="D458" s="1">
        <v>7</v>
      </c>
      <c r="E458" s="1">
        <v>16296</v>
      </c>
      <c r="F458" s="1">
        <v>1629.6</v>
      </c>
      <c r="G458" s="1">
        <v>14666.4</v>
      </c>
      <c r="H458" s="1">
        <v>11640</v>
      </c>
    </row>
    <row r="459" spans="2:8" x14ac:dyDescent="0.25">
      <c r="B459" s="12">
        <v>386</v>
      </c>
      <c r="C459" s="1">
        <v>10</v>
      </c>
      <c r="D459" s="1">
        <v>12</v>
      </c>
      <c r="E459" s="1">
        <v>4632</v>
      </c>
      <c r="F459" s="1">
        <v>463.2</v>
      </c>
      <c r="G459" s="1">
        <v>4168.8</v>
      </c>
      <c r="H459" s="1">
        <v>1158</v>
      </c>
    </row>
    <row r="460" spans="2:8" x14ac:dyDescent="0.25">
      <c r="B460" s="12">
        <v>3445.5</v>
      </c>
      <c r="C460" s="1">
        <v>3</v>
      </c>
      <c r="D460" s="1">
        <v>125</v>
      </c>
      <c r="E460" s="1">
        <v>430687.5</v>
      </c>
      <c r="F460" s="1">
        <v>43068.75</v>
      </c>
      <c r="G460" s="1">
        <v>387618.75</v>
      </c>
      <c r="H460" s="1">
        <v>413460</v>
      </c>
    </row>
    <row r="461" spans="2:8" x14ac:dyDescent="0.25">
      <c r="B461" s="12">
        <v>1482</v>
      </c>
      <c r="C461" s="1">
        <v>3</v>
      </c>
      <c r="D461" s="1">
        <v>125</v>
      </c>
      <c r="E461" s="1">
        <v>185250</v>
      </c>
      <c r="F461" s="1">
        <v>18525</v>
      </c>
      <c r="G461" s="1">
        <v>166725</v>
      </c>
      <c r="H461" s="1">
        <v>177840</v>
      </c>
    </row>
    <row r="462" spans="2:8" x14ac:dyDescent="0.25">
      <c r="B462" s="12">
        <v>2313</v>
      </c>
      <c r="C462" s="1">
        <v>5</v>
      </c>
      <c r="D462" s="1">
        <v>350</v>
      </c>
      <c r="E462" s="1">
        <v>809550</v>
      </c>
      <c r="F462" s="1">
        <v>80955</v>
      </c>
      <c r="G462" s="1">
        <v>728595</v>
      </c>
      <c r="H462" s="1">
        <v>601380</v>
      </c>
    </row>
    <row r="463" spans="2:8" x14ac:dyDescent="0.25">
      <c r="B463" s="12">
        <v>1804</v>
      </c>
      <c r="C463" s="1">
        <v>5</v>
      </c>
      <c r="D463" s="1">
        <v>125</v>
      </c>
      <c r="E463" s="1">
        <v>225500</v>
      </c>
      <c r="F463" s="1">
        <v>22550</v>
      </c>
      <c r="G463" s="1">
        <v>202950</v>
      </c>
      <c r="H463" s="1">
        <v>216480</v>
      </c>
    </row>
    <row r="464" spans="2:8" x14ac:dyDescent="0.25">
      <c r="B464" s="12">
        <v>2072</v>
      </c>
      <c r="C464" s="1">
        <v>5</v>
      </c>
      <c r="D464" s="1">
        <v>15</v>
      </c>
      <c r="E464" s="1">
        <v>31080</v>
      </c>
      <c r="F464" s="1">
        <v>3108</v>
      </c>
      <c r="G464" s="1">
        <v>27972</v>
      </c>
      <c r="H464" s="1">
        <v>20720</v>
      </c>
    </row>
    <row r="465" spans="2:8" x14ac:dyDescent="0.25">
      <c r="B465" s="12">
        <v>1954</v>
      </c>
      <c r="C465" s="1">
        <v>10</v>
      </c>
      <c r="D465" s="1">
        <v>20</v>
      </c>
      <c r="E465" s="1">
        <v>39080</v>
      </c>
      <c r="F465" s="1">
        <v>3908</v>
      </c>
      <c r="G465" s="1">
        <v>35172</v>
      </c>
      <c r="H465" s="1">
        <v>19540</v>
      </c>
    </row>
    <row r="466" spans="2:8" x14ac:dyDescent="0.25">
      <c r="B466" s="12">
        <v>591</v>
      </c>
      <c r="C466" s="1">
        <v>10</v>
      </c>
      <c r="D466" s="1">
        <v>300</v>
      </c>
      <c r="E466" s="1">
        <v>177300</v>
      </c>
      <c r="F466" s="1">
        <v>17730</v>
      </c>
      <c r="G466" s="1">
        <v>159570</v>
      </c>
      <c r="H466" s="1">
        <v>147750</v>
      </c>
    </row>
    <row r="467" spans="2:8" x14ac:dyDescent="0.25">
      <c r="B467" s="12">
        <v>2167</v>
      </c>
      <c r="C467" s="1">
        <v>10</v>
      </c>
      <c r="D467" s="1">
        <v>15</v>
      </c>
      <c r="E467" s="1">
        <v>32505</v>
      </c>
      <c r="F467" s="1">
        <v>3250.5</v>
      </c>
      <c r="G467" s="1">
        <v>29254.5</v>
      </c>
      <c r="H467" s="1">
        <v>21670</v>
      </c>
    </row>
    <row r="468" spans="2:8" x14ac:dyDescent="0.25">
      <c r="B468" s="12">
        <v>241</v>
      </c>
      <c r="C468" s="1">
        <v>10</v>
      </c>
      <c r="D468" s="1">
        <v>20</v>
      </c>
      <c r="E468" s="1">
        <v>4820</v>
      </c>
      <c r="F468" s="1">
        <v>482</v>
      </c>
      <c r="G468" s="1">
        <v>4338</v>
      </c>
      <c r="H468" s="1">
        <v>2410</v>
      </c>
    </row>
    <row r="469" spans="2:8" x14ac:dyDescent="0.25">
      <c r="B469" s="12">
        <v>681</v>
      </c>
      <c r="C469" s="1">
        <v>120</v>
      </c>
      <c r="D469" s="1">
        <v>15</v>
      </c>
      <c r="E469" s="1">
        <v>10215</v>
      </c>
      <c r="F469" s="1">
        <v>1021.5</v>
      </c>
      <c r="G469" s="1">
        <v>9193.5</v>
      </c>
      <c r="H469" s="1">
        <v>6810</v>
      </c>
    </row>
    <row r="470" spans="2:8" x14ac:dyDescent="0.25">
      <c r="B470" s="12">
        <v>510</v>
      </c>
      <c r="C470" s="1">
        <v>120</v>
      </c>
      <c r="D470" s="1">
        <v>15</v>
      </c>
      <c r="E470" s="1">
        <v>7650</v>
      </c>
      <c r="F470" s="1">
        <v>765</v>
      </c>
      <c r="G470" s="1">
        <v>6885</v>
      </c>
      <c r="H470" s="1">
        <v>5100</v>
      </c>
    </row>
    <row r="471" spans="2:8" x14ac:dyDescent="0.25">
      <c r="B471" s="12">
        <v>790</v>
      </c>
      <c r="C471" s="1">
        <v>120</v>
      </c>
      <c r="D471" s="1">
        <v>15</v>
      </c>
      <c r="E471" s="1">
        <v>11850</v>
      </c>
      <c r="F471" s="1">
        <v>1185</v>
      </c>
      <c r="G471" s="1">
        <v>10665</v>
      </c>
      <c r="H471" s="1">
        <v>7900</v>
      </c>
    </row>
    <row r="472" spans="2:8" x14ac:dyDescent="0.25">
      <c r="B472" s="12">
        <v>639</v>
      </c>
      <c r="C472" s="1">
        <v>120</v>
      </c>
      <c r="D472" s="1">
        <v>350</v>
      </c>
      <c r="E472" s="1">
        <v>223650</v>
      </c>
      <c r="F472" s="1">
        <v>22365</v>
      </c>
      <c r="G472" s="1">
        <v>201285</v>
      </c>
      <c r="H472" s="1">
        <v>166140</v>
      </c>
    </row>
    <row r="473" spans="2:8" x14ac:dyDescent="0.25">
      <c r="B473" s="12">
        <v>1596</v>
      </c>
      <c r="C473" s="1">
        <v>120</v>
      </c>
      <c r="D473" s="1">
        <v>125</v>
      </c>
      <c r="E473" s="1">
        <v>199500</v>
      </c>
      <c r="F473" s="1">
        <v>19950</v>
      </c>
      <c r="G473" s="1">
        <v>179550</v>
      </c>
      <c r="H473" s="1">
        <v>191520</v>
      </c>
    </row>
    <row r="474" spans="2:8" x14ac:dyDescent="0.25">
      <c r="B474" s="12">
        <v>2294</v>
      </c>
      <c r="C474" s="1">
        <v>120</v>
      </c>
      <c r="D474" s="1">
        <v>300</v>
      </c>
      <c r="E474" s="1">
        <v>688200</v>
      </c>
      <c r="F474" s="1">
        <v>68820</v>
      </c>
      <c r="G474" s="1">
        <v>619380</v>
      </c>
      <c r="H474" s="1">
        <v>573500</v>
      </c>
    </row>
    <row r="475" spans="2:8" x14ac:dyDescent="0.25">
      <c r="B475" s="12">
        <v>241</v>
      </c>
      <c r="C475" s="1">
        <v>120</v>
      </c>
      <c r="D475" s="1">
        <v>20</v>
      </c>
      <c r="E475" s="1">
        <v>4820</v>
      </c>
      <c r="F475" s="1">
        <v>482</v>
      </c>
      <c r="G475" s="1">
        <v>4338</v>
      </c>
      <c r="H475" s="1">
        <v>2410</v>
      </c>
    </row>
    <row r="476" spans="2:8" x14ac:dyDescent="0.25">
      <c r="B476" s="12">
        <v>2665</v>
      </c>
      <c r="C476" s="1">
        <v>120</v>
      </c>
      <c r="D476" s="1">
        <v>7</v>
      </c>
      <c r="E476" s="1">
        <v>18655</v>
      </c>
      <c r="F476" s="1">
        <v>1865.5</v>
      </c>
      <c r="G476" s="1">
        <v>16789.5</v>
      </c>
      <c r="H476" s="1">
        <v>13325</v>
      </c>
    </row>
    <row r="477" spans="2:8" x14ac:dyDescent="0.25">
      <c r="B477" s="12">
        <v>1916</v>
      </c>
      <c r="C477" s="1">
        <v>120</v>
      </c>
      <c r="D477" s="1">
        <v>125</v>
      </c>
      <c r="E477" s="1">
        <v>239500</v>
      </c>
      <c r="F477" s="1">
        <v>23950</v>
      </c>
      <c r="G477" s="1">
        <v>215550</v>
      </c>
      <c r="H477" s="1">
        <v>229920</v>
      </c>
    </row>
    <row r="478" spans="2:8" x14ac:dyDescent="0.25">
      <c r="B478" s="12">
        <v>853</v>
      </c>
      <c r="C478" s="1">
        <v>120</v>
      </c>
      <c r="D478" s="1">
        <v>300</v>
      </c>
      <c r="E478" s="1">
        <v>255900</v>
      </c>
      <c r="F478" s="1">
        <v>25590</v>
      </c>
      <c r="G478" s="1">
        <v>230310</v>
      </c>
      <c r="H478" s="1">
        <v>213250</v>
      </c>
    </row>
    <row r="479" spans="2:8" x14ac:dyDescent="0.25">
      <c r="B479" s="12">
        <v>341</v>
      </c>
      <c r="C479" s="1">
        <v>250</v>
      </c>
      <c r="D479" s="1">
        <v>125</v>
      </c>
      <c r="E479" s="1">
        <v>42625</v>
      </c>
      <c r="F479" s="1">
        <v>4262.5</v>
      </c>
      <c r="G479" s="1">
        <v>38362.5</v>
      </c>
      <c r="H479" s="1">
        <v>40920</v>
      </c>
    </row>
    <row r="480" spans="2:8" x14ac:dyDescent="0.25">
      <c r="B480" s="12">
        <v>641</v>
      </c>
      <c r="C480" s="1">
        <v>250</v>
      </c>
      <c r="D480" s="1">
        <v>15</v>
      </c>
      <c r="E480" s="1">
        <v>9615</v>
      </c>
      <c r="F480" s="1">
        <v>961.5</v>
      </c>
      <c r="G480" s="1">
        <v>8653.5</v>
      </c>
      <c r="H480" s="1">
        <v>6410</v>
      </c>
    </row>
    <row r="481" spans="2:8" x14ac:dyDescent="0.25">
      <c r="B481" s="12">
        <v>2807</v>
      </c>
      <c r="C481" s="1">
        <v>250</v>
      </c>
      <c r="D481" s="1">
        <v>350</v>
      </c>
      <c r="E481" s="1">
        <v>982450</v>
      </c>
      <c r="F481" s="1">
        <v>98245</v>
      </c>
      <c r="G481" s="1">
        <v>884205</v>
      </c>
      <c r="H481" s="1">
        <v>729820</v>
      </c>
    </row>
    <row r="482" spans="2:8" x14ac:dyDescent="0.25">
      <c r="B482" s="12">
        <v>432</v>
      </c>
      <c r="C482" s="1">
        <v>250</v>
      </c>
      <c r="D482" s="1">
        <v>300</v>
      </c>
      <c r="E482" s="1">
        <v>129600</v>
      </c>
      <c r="F482" s="1">
        <v>12960</v>
      </c>
      <c r="G482" s="1">
        <v>116640</v>
      </c>
      <c r="H482" s="1">
        <v>108000</v>
      </c>
    </row>
    <row r="483" spans="2:8" x14ac:dyDescent="0.25">
      <c r="B483" s="12">
        <v>2294</v>
      </c>
      <c r="C483" s="1">
        <v>250</v>
      </c>
      <c r="D483" s="1">
        <v>300</v>
      </c>
      <c r="E483" s="1">
        <v>688200</v>
      </c>
      <c r="F483" s="1">
        <v>68820</v>
      </c>
      <c r="G483" s="1">
        <v>619380</v>
      </c>
      <c r="H483" s="1">
        <v>573500</v>
      </c>
    </row>
    <row r="484" spans="2:8" x14ac:dyDescent="0.25">
      <c r="B484" s="12">
        <v>2167</v>
      </c>
      <c r="C484" s="1">
        <v>250</v>
      </c>
      <c r="D484" s="1">
        <v>15</v>
      </c>
      <c r="E484" s="1">
        <v>32505</v>
      </c>
      <c r="F484" s="1">
        <v>3250.5</v>
      </c>
      <c r="G484" s="1">
        <v>29254.5</v>
      </c>
      <c r="H484" s="1">
        <v>21670</v>
      </c>
    </row>
    <row r="485" spans="2:8" x14ac:dyDescent="0.25">
      <c r="B485" s="12">
        <v>2529</v>
      </c>
      <c r="C485" s="1">
        <v>250</v>
      </c>
      <c r="D485" s="1">
        <v>125</v>
      </c>
      <c r="E485" s="1">
        <v>316125</v>
      </c>
      <c r="F485" s="1">
        <v>31612.5</v>
      </c>
      <c r="G485" s="1">
        <v>284512.5</v>
      </c>
      <c r="H485" s="1">
        <v>303480</v>
      </c>
    </row>
    <row r="486" spans="2:8" x14ac:dyDescent="0.25">
      <c r="B486" s="12">
        <v>1870</v>
      </c>
      <c r="C486" s="1">
        <v>250</v>
      </c>
      <c r="D486" s="1">
        <v>350</v>
      </c>
      <c r="E486" s="1">
        <v>654500</v>
      </c>
      <c r="F486" s="1">
        <v>65450</v>
      </c>
      <c r="G486" s="1">
        <v>589050</v>
      </c>
      <c r="H486" s="1">
        <v>486200</v>
      </c>
    </row>
    <row r="487" spans="2:8" x14ac:dyDescent="0.25">
      <c r="B487" s="12">
        <v>579</v>
      </c>
      <c r="C487" s="1">
        <v>260</v>
      </c>
      <c r="D487" s="1">
        <v>125</v>
      </c>
      <c r="E487" s="1">
        <v>72375</v>
      </c>
      <c r="F487" s="1">
        <v>7237.5</v>
      </c>
      <c r="G487" s="1">
        <v>65137.5</v>
      </c>
      <c r="H487" s="1">
        <v>69480</v>
      </c>
    </row>
    <row r="488" spans="2:8" x14ac:dyDescent="0.25">
      <c r="B488" s="12">
        <v>2240</v>
      </c>
      <c r="C488" s="1">
        <v>260</v>
      </c>
      <c r="D488" s="1">
        <v>350</v>
      </c>
      <c r="E488" s="1">
        <v>784000</v>
      </c>
      <c r="F488" s="1">
        <v>78400</v>
      </c>
      <c r="G488" s="1">
        <v>705600</v>
      </c>
      <c r="H488" s="1">
        <v>582400</v>
      </c>
    </row>
    <row r="489" spans="2:8" x14ac:dyDescent="0.25">
      <c r="B489" s="12">
        <v>2993</v>
      </c>
      <c r="C489" s="1">
        <v>260</v>
      </c>
      <c r="D489" s="1">
        <v>300</v>
      </c>
      <c r="E489" s="1">
        <v>897900</v>
      </c>
      <c r="F489" s="1">
        <v>89790</v>
      </c>
      <c r="G489" s="1">
        <v>808110</v>
      </c>
      <c r="H489" s="1">
        <v>748250</v>
      </c>
    </row>
    <row r="490" spans="2:8" x14ac:dyDescent="0.25">
      <c r="B490" s="12">
        <v>3520.5</v>
      </c>
      <c r="C490" s="1">
        <v>260</v>
      </c>
      <c r="D490" s="1">
        <v>12</v>
      </c>
      <c r="E490" s="1">
        <v>42246</v>
      </c>
      <c r="F490" s="1">
        <v>4224.6000000000004</v>
      </c>
      <c r="G490" s="1">
        <v>38021.399999999994</v>
      </c>
      <c r="H490" s="1">
        <v>10561.5</v>
      </c>
    </row>
    <row r="491" spans="2:8" x14ac:dyDescent="0.25">
      <c r="B491" s="12">
        <v>2039</v>
      </c>
      <c r="C491" s="1">
        <v>260</v>
      </c>
      <c r="D491" s="1">
        <v>20</v>
      </c>
      <c r="E491" s="1">
        <v>40780</v>
      </c>
      <c r="F491" s="1">
        <v>4078</v>
      </c>
      <c r="G491" s="1">
        <v>36702</v>
      </c>
      <c r="H491" s="1">
        <v>20390</v>
      </c>
    </row>
    <row r="492" spans="2:8" x14ac:dyDescent="0.25">
      <c r="B492" s="12">
        <v>2574</v>
      </c>
      <c r="C492" s="1">
        <v>260</v>
      </c>
      <c r="D492" s="1">
        <v>12</v>
      </c>
      <c r="E492" s="1">
        <v>30888</v>
      </c>
      <c r="F492" s="1">
        <v>3088.8</v>
      </c>
      <c r="G492" s="1">
        <v>27799.200000000001</v>
      </c>
      <c r="H492" s="1">
        <v>7722</v>
      </c>
    </row>
    <row r="493" spans="2:8" x14ac:dyDescent="0.25">
      <c r="B493" s="12">
        <v>707</v>
      </c>
      <c r="C493" s="1">
        <v>260</v>
      </c>
      <c r="D493" s="1">
        <v>350</v>
      </c>
      <c r="E493" s="1">
        <v>247450</v>
      </c>
      <c r="F493" s="1">
        <v>24745</v>
      </c>
      <c r="G493" s="1">
        <v>222705</v>
      </c>
      <c r="H493" s="1">
        <v>183820</v>
      </c>
    </row>
    <row r="494" spans="2:8" x14ac:dyDescent="0.25">
      <c r="B494" s="12">
        <v>2072</v>
      </c>
      <c r="C494" s="1">
        <v>260</v>
      </c>
      <c r="D494" s="1">
        <v>15</v>
      </c>
      <c r="E494" s="1">
        <v>31080</v>
      </c>
      <c r="F494" s="1">
        <v>3108</v>
      </c>
      <c r="G494" s="1">
        <v>27972</v>
      </c>
      <c r="H494" s="1">
        <v>20720</v>
      </c>
    </row>
    <row r="495" spans="2:8" x14ac:dyDescent="0.25">
      <c r="B495" s="12">
        <v>853</v>
      </c>
      <c r="C495" s="1">
        <v>260</v>
      </c>
      <c r="D495" s="1">
        <v>300</v>
      </c>
      <c r="E495" s="1">
        <v>255900</v>
      </c>
      <c r="F495" s="1">
        <v>25590</v>
      </c>
      <c r="G495" s="1">
        <v>230310</v>
      </c>
      <c r="H495" s="1">
        <v>213250</v>
      </c>
    </row>
    <row r="496" spans="2:8" x14ac:dyDescent="0.25">
      <c r="B496" s="12">
        <v>1198</v>
      </c>
      <c r="C496" s="1">
        <v>3</v>
      </c>
      <c r="D496" s="1">
        <v>12</v>
      </c>
      <c r="E496" s="1">
        <v>14376</v>
      </c>
      <c r="F496" s="1">
        <v>1581.36</v>
      </c>
      <c r="G496" s="1">
        <v>12794.64</v>
      </c>
      <c r="H496" s="1">
        <v>3594</v>
      </c>
    </row>
    <row r="497" spans="2:8" x14ac:dyDescent="0.25">
      <c r="B497" s="12">
        <v>2532</v>
      </c>
      <c r="C497" s="1">
        <v>10</v>
      </c>
      <c r="D497" s="1">
        <v>7</v>
      </c>
      <c r="E497" s="1">
        <v>17724</v>
      </c>
      <c r="F497" s="1">
        <v>1949.6399999999999</v>
      </c>
      <c r="G497" s="1">
        <v>15774.36</v>
      </c>
      <c r="H497" s="1">
        <v>12660</v>
      </c>
    </row>
    <row r="498" spans="2:8" x14ac:dyDescent="0.25">
      <c r="B498" s="12">
        <v>1198</v>
      </c>
      <c r="C498" s="1">
        <v>10</v>
      </c>
      <c r="D498" s="1">
        <v>12</v>
      </c>
      <c r="E498" s="1">
        <v>14376</v>
      </c>
      <c r="F498" s="1">
        <v>1581.36</v>
      </c>
      <c r="G498" s="1">
        <v>12794.64</v>
      </c>
      <c r="H498" s="1">
        <v>3594</v>
      </c>
    </row>
    <row r="499" spans="2:8" x14ac:dyDescent="0.25">
      <c r="B499" s="12">
        <v>384</v>
      </c>
      <c r="C499" s="1">
        <v>120</v>
      </c>
      <c r="D499" s="1">
        <v>15</v>
      </c>
      <c r="E499" s="1">
        <v>5760</v>
      </c>
      <c r="F499" s="1">
        <v>633.59999999999991</v>
      </c>
      <c r="G499" s="1">
        <v>5126.3999999999996</v>
      </c>
      <c r="H499" s="1">
        <v>3840</v>
      </c>
    </row>
    <row r="500" spans="2:8" x14ac:dyDescent="0.25">
      <c r="B500" s="12">
        <v>472</v>
      </c>
      <c r="C500" s="1">
        <v>120</v>
      </c>
      <c r="D500" s="1">
        <v>12</v>
      </c>
      <c r="E500" s="1">
        <v>5664</v>
      </c>
      <c r="F500" s="1">
        <v>623.04</v>
      </c>
      <c r="G500" s="1">
        <v>5040.96</v>
      </c>
      <c r="H500" s="1">
        <v>1416</v>
      </c>
    </row>
    <row r="501" spans="2:8" x14ac:dyDescent="0.25">
      <c r="B501" s="12">
        <v>1579</v>
      </c>
      <c r="C501" s="1">
        <v>250</v>
      </c>
      <c r="D501" s="1">
        <v>7</v>
      </c>
      <c r="E501" s="1">
        <v>11053</v>
      </c>
      <c r="F501" s="1">
        <v>1215.83</v>
      </c>
      <c r="G501" s="1">
        <v>9837.17</v>
      </c>
      <c r="H501" s="1">
        <v>7895</v>
      </c>
    </row>
    <row r="502" spans="2:8" x14ac:dyDescent="0.25">
      <c r="B502" s="12">
        <v>1005</v>
      </c>
      <c r="C502" s="1">
        <v>250</v>
      </c>
      <c r="D502" s="1">
        <v>12</v>
      </c>
      <c r="E502" s="1">
        <v>12060</v>
      </c>
      <c r="F502" s="1">
        <v>1326.6</v>
      </c>
      <c r="G502" s="1">
        <v>10733.4</v>
      </c>
      <c r="H502" s="1">
        <v>3015</v>
      </c>
    </row>
    <row r="503" spans="2:8" x14ac:dyDescent="0.25">
      <c r="B503" s="12">
        <v>3199.5</v>
      </c>
      <c r="C503" s="1">
        <v>260</v>
      </c>
      <c r="D503" s="1">
        <v>15</v>
      </c>
      <c r="E503" s="1">
        <v>47992.5</v>
      </c>
      <c r="F503" s="1">
        <v>5279.1749999999993</v>
      </c>
      <c r="G503" s="1">
        <v>42713.324999999997</v>
      </c>
      <c r="H503" s="1">
        <v>31995</v>
      </c>
    </row>
    <row r="504" spans="2:8" x14ac:dyDescent="0.25">
      <c r="B504" s="12">
        <v>472</v>
      </c>
      <c r="C504" s="1">
        <v>260</v>
      </c>
      <c r="D504" s="1">
        <v>12</v>
      </c>
      <c r="E504" s="1">
        <v>5664</v>
      </c>
      <c r="F504" s="1">
        <v>623.04</v>
      </c>
      <c r="G504" s="1">
        <v>5040.96</v>
      </c>
      <c r="H504" s="1">
        <v>1416</v>
      </c>
    </row>
    <row r="505" spans="2:8" x14ac:dyDescent="0.25">
      <c r="B505" s="12">
        <v>1937</v>
      </c>
      <c r="C505" s="1">
        <v>3</v>
      </c>
      <c r="D505" s="1">
        <v>12</v>
      </c>
      <c r="E505" s="1">
        <v>23244</v>
      </c>
      <c r="F505" s="1">
        <v>2556.84</v>
      </c>
      <c r="G505" s="1">
        <v>20687.16</v>
      </c>
      <c r="H505" s="1">
        <v>5811</v>
      </c>
    </row>
    <row r="506" spans="2:8" x14ac:dyDescent="0.25">
      <c r="B506" s="12">
        <v>792</v>
      </c>
      <c r="C506" s="1">
        <v>3</v>
      </c>
      <c r="D506" s="1">
        <v>350</v>
      </c>
      <c r="E506" s="1">
        <v>277200</v>
      </c>
      <c r="F506" s="1">
        <v>30492</v>
      </c>
      <c r="G506" s="1">
        <v>246708</v>
      </c>
      <c r="H506" s="1">
        <v>205920</v>
      </c>
    </row>
    <row r="507" spans="2:8" x14ac:dyDescent="0.25">
      <c r="B507" s="12">
        <v>2811</v>
      </c>
      <c r="C507" s="1">
        <v>3</v>
      </c>
      <c r="D507" s="1">
        <v>300</v>
      </c>
      <c r="E507" s="1">
        <v>843300</v>
      </c>
      <c r="F507" s="1">
        <v>92763</v>
      </c>
      <c r="G507" s="1">
        <v>750537</v>
      </c>
      <c r="H507" s="1">
        <v>702750</v>
      </c>
    </row>
    <row r="508" spans="2:8" x14ac:dyDescent="0.25">
      <c r="B508" s="12">
        <v>2441</v>
      </c>
      <c r="C508" s="1">
        <v>3</v>
      </c>
      <c r="D508" s="1">
        <v>125</v>
      </c>
      <c r="E508" s="1">
        <v>305125</v>
      </c>
      <c r="F508" s="1">
        <v>33563.75</v>
      </c>
      <c r="G508" s="1">
        <v>271561.25</v>
      </c>
      <c r="H508" s="1">
        <v>292920</v>
      </c>
    </row>
    <row r="509" spans="2:8" x14ac:dyDescent="0.25">
      <c r="B509" s="12">
        <v>1560</v>
      </c>
      <c r="C509" s="1">
        <v>3</v>
      </c>
      <c r="D509" s="1">
        <v>15</v>
      </c>
      <c r="E509" s="1">
        <v>23400</v>
      </c>
      <c r="F509" s="1">
        <v>2574</v>
      </c>
      <c r="G509" s="1">
        <v>20826</v>
      </c>
      <c r="H509" s="1">
        <v>15600</v>
      </c>
    </row>
    <row r="510" spans="2:8" x14ac:dyDescent="0.25">
      <c r="B510" s="12">
        <v>2706</v>
      </c>
      <c r="C510" s="1">
        <v>3</v>
      </c>
      <c r="D510" s="1">
        <v>7</v>
      </c>
      <c r="E510" s="1">
        <v>18942</v>
      </c>
      <c r="F510" s="1">
        <v>2083.62</v>
      </c>
      <c r="G510" s="1">
        <v>16858.38</v>
      </c>
      <c r="H510" s="1">
        <v>13530</v>
      </c>
    </row>
    <row r="511" spans="2:8" x14ac:dyDescent="0.25">
      <c r="B511" s="12">
        <v>766</v>
      </c>
      <c r="C511" s="1">
        <v>5</v>
      </c>
      <c r="D511" s="1">
        <v>350</v>
      </c>
      <c r="E511" s="1">
        <v>268100</v>
      </c>
      <c r="F511" s="1">
        <v>29491</v>
      </c>
      <c r="G511" s="1">
        <v>238609</v>
      </c>
      <c r="H511" s="1">
        <v>199160</v>
      </c>
    </row>
    <row r="512" spans="2:8" x14ac:dyDescent="0.25">
      <c r="B512" s="12">
        <v>2992</v>
      </c>
      <c r="C512" s="1">
        <v>5</v>
      </c>
      <c r="D512" s="1">
        <v>20</v>
      </c>
      <c r="E512" s="1">
        <v>59840</v>
      </c>
      <c r="F512" s="1">
        <v>6582.4</v>
      </c>
      <c r="G512" s="1">
        <v>53257.599999999999</v>
      </c>
      <c r="H512" s="1">
        <v>29920</v>
      </c>
    </row>
    <row r="513" spans="2:8" x14ac:dyDescent="0.25">
      <c r="B513" s="12">
        <v>2157</v>
      </c>
      <c r="C513" s="1">
        <v>5</v>
      </c>
      <c r="D513" s="1">
        <v>15</v>
      </c>
      <c r="E513" s="1">
        <v>32355</v>
      </c>
      <c r="F513" s="1">
        <v>3559.05</v>
      </c>
      <c r="G513" s="1">
        <v>28795.95</v>
      </c>
      <c r="H513" s="1">
        <v>21570</v>
      </c>
    </row>
    <row r="514" spans="2:8" x14ac:dyDescent="0.25">
      <c r="B514" s="12">
        <v>873</v>
      </c>
      <c r="C514" s="1">
        <v>10</v>
      </c>
      <c r="D514" s="1">
        <v>300</v>
      </c>
      <c r="E514" s="1">
        <v>261900</v>
      </c>
      <c r="F514" s="1">
        <v>28809</v>
      </c>
      <c r="G514" s="1">
        <v>233091</v>
      </c>
      <c r="H514" s="1">
        <v>218250</v>
      </c>
    </row>
    <row r="515" spans="2:8" x14ac:dyDescent="0.25">
      <c r="B515" s="12">
        <v>1122</v>
      </c>
      <c r="C515" s="1">
        <v>10</v>
      </c>
      <c r="D515" s="1">
        <v>20</v>
      </c>
      <c r="E515" s="1">
        <v>22440</v>
      </c>
      <c r="F515" s="1">
        <v>2468.4</v>
      </c>
      <c r="G515" s="1">
        <v>19971.599999999999</v>
      </c>
      <c r="H515" s="1">
        <v>11220</v>
      </c>
    </row>
    <row r="516" spans="2:8" x14ac:dyDescent="0.25">
      <c r="B516" s="12">
        <v>2104.5</v>
      </c>
      <c r="C516" s="1">
        <v>10</v>
      </c>
      <c r="D516" s="1">
        <v>350</v>
      </c>
      <c r="E516" s="1">
        <v>736575</v>
      </c>
      <c r="F516" s="1">
        <v>81023.25</v>
      </c>
      <c r="G516" s="1">
        <v>655551.75</v>
      </c>
      <c r="H516" s="1">
        <v>547170</v>
      </c>
    </row>
    <row r="517" spans="2:8" x14ac:dyDescent="0.25">
      <c r="B517" s="12">
        <v>4026</v>
      </c>
      <c r="C517" s="1">
        <v>10</v>
      </c>
      <c r="D517" s="1">
        <v>12</v>
      </c>
      <c r="E517" s="1">
        <v>48312</v>
      </c>
      <c r="F517" s="1">
        <v>5314.32</v>
      </c>
      <c r="G517" s="1">
        <v>42997.68</v>
      </c>
      <c r="H517" s="1">
        <v>12078</v>
      </c>
    </row>
    <row r="518" spans="2:8" x14ac:dyDescent="0.25">
      <c r="B518" s="12">
        <v>2425.5</v>
      </c>
      <c r="C518" s="1">
        <v>10</v>
      </c>
      <c r="D518" s="1">
        <v>12</v>
      </c>
      <c r="E518" s="1">
        <v>29106</v>
      </c>
      <c r="F518" s="1">
        <v>3201.66</v>
      </c>
      <c r="G518" s="1">
        <v>25904.340000000004</v>
      </c>
      <c r="H518" s="1">
        <v>7276.5</v>
      </c>
    </row>
    <row r="519" spans="2:8" x14ac:dyDescent="0.25">
      <c r="B519" s="12">
        <v>2394</v>
      </c>
      <c r="C519" s="1">
        <v>10</v>
      </c>
      <c r="D519" s="1">
        <v>20</v>
      </c>
      <c r="E519" s="1">
        <v>47880</v>
      </c>
      <c r="F519" s="1">
        <v>5266.8</v>
      </c>
      <c r="G519" s="1">
        <v>42613.2</v>
      </c>
      <c r="H519" s="1">
        <v>23940</v>
      </c>
    </row>
    <row r="520" spans="2:8" x14ac:dyDescent="0.25">
      <c r="B520" s="12">
        <v>1984</v>
      </c>
      <c r="C520" s="1">
        <v>10</v>
      </c>
      <c r="D520" s="1">
        <v>15</v>
      </c>
      <c r="E520" s="1">
        <v>29760</v>
      </c>
      <c r="F520" s="1">
        <v>3273.6</v>
      </c>
      <c r="G520" s="1">
        <v>26486.400000000001</v>
      </c>
      <c r="H520" s="1">
        <v>19840</v>
      </c>
    </row>
    <row r="521" spans="2:8" x14ac:dyDescent="0.25">
      <c r="B521" s="12">
        <v>2441</v>
      </c>
      <c r="C521" s="1">
        <v>10</v>
      </c>
      <c r="D521" s="1">
        <v>125</v>
      </c>
      <c r="E521" s="1">
        <v>305125</v>
      </c>
      <c r="F521" s="1">
        <v>33563.75</v>
      </c>
      <c r="G521" s="1">
        <v>271561.25</v>
      </c>
      <c r="H521" s="1">
        <v>292920</v>
      </c>
    </row>
    <row r="522" spans="2:8" x14ac:dyDescent="0.25">
      <c r="B522" s="12">
        <v>2992</v>
      </c>
      <c r="C522" s="1">
        <v>10</v>
      </c>
      <c r="D522" s="1">
        <v>20</v>
      </c>
      <c r="E522" s="1">
        <v>59840</v>
      </c>
      <c r="F522" s="1">
        <v>6582.4</v>
      </c>
      <c r="G522" s="1">
        <v>53257.599999999999</v>
      </c>
      <c r="H522" s="1">
        <v>29920</v>
      </c>
    </row>
    <row r="523" spans="2:8" x14ac:dyDescent="0.25">
      <c r="B523" s="12">
        <v>1366</v>
      </c>
      <c r="C523" s="1">
        <v>10</v>
      </c>
      <c r="D523" s="1">
        <v>300</v>
      </c>
      <c r="E523" s="1">
        <v>409800</v>
      </c>
      <c r="F523" s="1">
        <v>45078</v>
      </c>
      <c r="G523" s="1">
        <v>364722</v>
      </c>
      <c r="H523" s="1">
        <v>341500</v>
      </c>
    </row>
    <row r="524" spans="2:8" x14ac:dyDescent="0.25">
      <c r="B524" s="12">
        <v>2805</v>
      </c>
      <c r="C524" s="1">
        <v>120</v>
      </c>
      <c r="D524" s="1">
        <v>20</v>
      </c>
      <c r="E524" s="1">
        <v>56100</v>
      </c>
      <c r="F524" s="1">
        <v>6171</v>
      </c>
      <c r="G524" s="1">
        <v>49929</v>
      </c>
      <c r="H524" s="1">
        <v>28050</v>
      </c>
    </row>
    <row r="525" spans="2:8" x14ac:dyDescent="0.25">
      <c r="B525" s="12">
        <v>655</v>
      </c>
      <c r="C525" s="1">
        <v>120</v>
      </c>
      <c r="D525" s="1">
        <v>15</v>
      </c>
      <c r="E525" s="1">
        <v>9825</v>
      </c>
      <c r="F525" s="1">
        <v>1080.75</v>
      </c>
      <c r="G525" s="1">
        <v>8744.25</v>
      </c>
      <c r="H525" s="1">
        <v>6550</v>
      </c>
    </row>
    <row r="526" spans="2:8" x14ac:dyDescent="0.25">
      <c r="B526" s="12">
        <v>344</v>
      </c>
      <c r="C526" s="1">
        <v>120</v>
      </c>
      <c r="D526" s="1">
        <v>350</v>
      </c>
      <c r="E526" s="1">
        <v>120400</v>
      </c>
      <c r="F526" s="1">
        <v>13244</v>
      </c>
      <c r="G526" s="1">
        <v>107156</v>
      </c>
      <c r="H526" s="1">
        <v>89440</v>
      </c>
    </row>
    <row r="527" spans="2:8" x14ac:dyDescent="0.25">
      <c r="B527" s="12">
        <v>1808</v>
      </c>
      <c r="C527" s="1">
        <v>120</v>
      </c>
      <c r="D527" s="1">
        <v>7</v>
      </c>
      <c r="E527" s="1">
        <v>12656</v>
      </c>
      <c r="F527" s="1">
        <v>1392.16</v>
      </c>
      <c r="G527" s="1">
        <v>11263.84</v>
      </c>
      <c r="H527" s="1">
        <v>9040</v>
      </c>
    </row>
    <row r="528" spans="2:8" x14ac:dyDescent="0.25">
      <c r="B528" s="12">
        <v>1734</v>
      </c>
      <c r="C528" s="1">
        <v>250</v>
      </c>
      <c r="D528" s="1">
        <v>12</v>
      </c>
      <c r="E528" s="1">
        <v>20808</v>
      </c>
      <c r="F528" s="1">
        <v>2288.88</v>
      </c>
      <c r="G528" s="1">
        <v>18519.12</v>
      </c>
      <c r="H528" s="1">
        <v>5202</v>
      </c>
    </row>
    <row r="529" spans="2:8" x14ac:dyDescent="0.25">
      <c r="B529" s="12">
        <v>554</v>
      </c>
      <c r="C529" s="1">
        <v>250</v>
      </c>
      <c r="D529" s="1">
        <v>125</v>
      </c>
      <c r="E529" s="1">
        <v>69250</v>
      </c>
      <c r="F529" s="1">
        <v>7617.5</v>
      </c>
      <c r="G529" s="1">
        <v>61632.5</v>
      </c>
      <c r="H529" s="1">
        <v>66480</v>
      </c>
    </row>
    <row r="530" spans="2:8" x14ac:dyDescent="0.25">
      <c r="B530" s="12">
        <v>2935</v>
      </c>
      <c r="C530" s="1">
        <v>250</v>
      </c>
      <c r="D530" s="1">
        <v>20</v>
      </c>
      <c r="E530" s="1">
        <v>58700</v>
      </c>
      <c r="F530" s="1">
        <v>6457</v>
      </c>
      <c r="G530" s="1">
        <v>52243</v>
      </c>
      <c r="H530" s="1">
        <v>29350</v>
      </c>
    </row>
    <row r="531" spans="2:8" x14ac:dyDescent="0.25">
      <c r="B531" s="12">
        <v>3165</v>
      </c>
      <c r="C531" s="1">
        <v>260</v>
      </c>
      <c r="D531" s="1">
        <v>125</v>
      </c>
      <c r="E531" s="1">
        <v>395625</v>
      </c>
      <c r="F531" s="1">
        <v>43518.75</v>
      </c>
      <c r="G531" s="1">
        <v>352106.25</v>
      </c>
      <c r="H531" s="1">
        <v>379800</v>
      </c>
    </row>
    <row r="532" spans="2:8" x14ac:dyDescent="0.25">
      <c r="B532" s="12">
        <v>2629</v>
      </c>
      <c r="C532" s="1">
        <v>260</v>
      </c>
      <c r="D532" s="1">
        <v>20</v>
      </c>
      <c r="E532" s="1">
        <v>52580</v>
      </c>
      <c r="F532" s="1">
        <v>5783.8</v>
      </c>
      <c r="G532" s="1">
        <v>46796.2</v>
      </c>
      <c r="H532" s="1">
        <v>26290</v>
      </c>
    </row>
    <row r="533" spans="2:8" x14ac:dyDescent="0.25">
      <c r="B533" s="12">
        <v>1433</v>
      </c>
      <c r="C533" s="1">
        <v>260</v>
      </c>
      <c r="D533" s="1">
        <v>125</v>
      </c>
      <c r="E533" s="1">
        <v>179125</v>
      </c>
      <c r="F533" s="1">
        <v>19703.75</v>
      </c>
      <c r="G533" s="1">
        <v>159421.25</v>
      </c>
      <c r="H533" s="1">
        <v>171960</v>
      </c>
    </row>
    <row r="534" spans="2:8" x14ac:dyDescent="0.25">
      <c r="B534" s="12">
        <v>947</v>
      </c>
      <c r="C534" s="1">
        <v>260</v>
      </c>
      <c r="D534" s="1">
        <v>125</v>
      </c>
      <c r="E534" s="1">
        <v>118375</v>
      </c>
      <c r="F534" s="1">
        <v>13021.25</v>
      </c>
      <c r="G534" s="1">
        <v>105353.75</v>
      </c>
      <c r="H534" s="1">
        <v>113640</v>
      </c>
    </row>
    <row r="535" spans="2:8" x14ac:dyDescent="0.25">
      <c r="B535" s="12">
        <v>344</v>
      </c>
      <c r="C535" s="1">
        <v>260</v>
      </c>
      <c r="D535" s="1">
        <v>350</v>
      </c>
      <c r="E535" s="1">
        <v>120400</v>
      </c>
      <c r="F535" s="1">
        <v>13244</v>
      </c>
      <c r="G535" s="1">
        <v>107156</v>
      </c>
      <c r="H535" s="1">
        <v>89440</v>
      </c>
    </row>
    <row r="536" spans="2:8" x14ac:dyDescent="0.25">
      <c r="B536" s="12">
        <v>2157</v>
      </c>
      <c r="C536" s="1">
        <v>260</v>
      </c>
      <c r="D536" s="1">
        <v>15</v>
      </c>
      <c r="E536" s="1">
        <v>32355</v>
      </c>
      <c r="F536" s="1">
        <v>3559.05</v>
      </c>
      <c r="G536" s="1">
        <v>28795.95</v>
      </c>
      <c r="H536" s="1">
        <v>21570</v>
      </c>
    </row>
    <row r="537" spans="2:8" x14ac:dyDescent="0.25">
      <c r="B537" s="12">
        <v>380</v>
      </c>
      <c r="C537" s="1">
        <v>10</v>
      </c>
      <c r="D537" s="1">
        <v>7</v>
      </c>
      <c r="E537" s="1">
        <v>2660</v>
      </c>
      <c r="F537" s="1">
        <v>292.60000000000002</v>
      </c>
      <c r="G537" s="1">
        <v>2367.4</v>
      </c>
      <c r="H537" s="1">
        <v>1900</v>
      </c>
    </row>
    <row r="538" spans="2:8" x14ac:dyDescent="0.25">
      <c r="B538" s="12">
        <v>886</v>
      </c>
      <c r="C538" s="1">
        <v>3</v>
      </c>
      <c r="D538" s="1">
        <v>350</v>
      </c>
      <c r="E538" s="1">
        <v>310100</v>
      </c>
      <c r="F538" s="1">
        <v>37212</v>
      </c>
      <c r="G538" s="1">
        <v>272888</v>
      </c>
      <c r="H538" s="1">
        <v>230360</v>
      </c>
    </row>
    <row r="539" spans="2:8" x14ac:dyDescent="0.25">
      <c r="B539" s="12">
        <v>2416</v>
      </c>
      <c r="C539" s="1">
        <v>3</v>
      </c>
      <c r="D539" s="1">
        <v>125</v>
      </c>
      <c r="E539" s="1">
        <v>302000</v>
      </c>
      <c r="F539" s="1">
        <v>36240</v>
      </c>
      <c r="G539" s="1">
        <v>265760</v>
      </c>
      <c r="H539" s="1">
        <v>289920</v>
      </c>
    </row>
    <row r="540" spans="2:8" x14ac:dyDescent="0.25">
      <c r="B540" s="12">
        <v>2156</v>
      </c>
      <c r="C540" s="1">
        <v>3</v>
      </c>
      <c r="D540" s="1">
        <v>125</v>
      </c>
      <c r="E540" s="1">
        <v>269500</v>
      </c>
      <c r="F540" s="1">
        <v>32340</v>
      </c>
      <c r="G540" s="1">
        <v>237160</v>
      </c>
      <c r="H540" s="1">
        <v>258720</v>
      </c>
    </row>
    <row r="541" spans="2:8" x14ac:dyDescent="0.25">
      <c r="B541" s="12">
        <v>2689</v>
      </c>
      <c r="C541" s="1">
        <v>3</v>
      </c>
      <c r="D541" s="1">
        <v>15</v>
      </c>
      <c r="E541" s="1">
        <v>40335</v>
      </c>
      <c r="F541" s="1">
        <v>4840.2</v>
      </c>
      <c r="G541" s="1">
        <v>35494.800000000003</v>
      </c>
      <c r="H541" s="1">
        <v>26890</v>
      </c>
    </row>
    <row r="542" spans="2:8" x14ac:dyDescent="0.25">
      <c r="B542" s="12">
        <v>677</v>
      </c>
      <c r="C542" s="1">
        <v>5</v>
      </c>
      <c r="D542" s="1">
        <v>15</v>
      </c>
      <c r="E542" s="1">
        <v>10155</v>
      </c>
      <c r="F542" s="1">
        <v>1218.5999999999999</v>
      </c>
      <c r="G542" s="1">
        <v>8936.4</v>
      </c>
      <c r="H542" s="1">
        <v>6770</v>
      </c>
    </row>
    <row r="543" spans="2:8" x14ac:dyDescent="0.25">
      <c r="B543" s="12">
        <v>1773</v>
      </c>
      <c r="C543" s="1">
        <v>5</v>
      </c>
      <c r="D543" s="1">
        <v>300</v>
      </c>
      <c r="E543" s="1">
        <v>531900</v>
      </c>
      <c r="F543" s="1">
        <v>63828</v>
      </c>
      <c r="G543" s="1">
        <v>468072</v>
      </c>
      <c r="H543" s="1">
        <v>443250</v>
      </c>
    </row>
    <row r="544" spans="2:8" x14ac:dyDescent="0.25">
      <c r="B544" s="12">
        <v>2420</v>
      </c>
      <c r="C544" s="1">
        <v>5</v>
      </c>
      <c r="D544" s="1">
        <v>7</v>
      </c>
      <c r="E544" s="1">
        <v>16940</v>
      </c>
      <c r="F544" s="1">
        <v>2032.8</v>
      </c>
      <c r="G544" s="1">
        <v>14907.2</v>
      </c>
      <c r="H544" s="1">
        <v>12100</v>
      </c>
    </row>
    <row r="545" spans="2:8" x14ac:dyDescent="0.25">
      <c r="B545" s="12">
        <v>2734</v>
      </c>
      <c r="C545" s="1">
        <v>5</v>
      </c>
      <c r="D545" s="1">
        <v>7</v>
      </c>
      <c r="E545" s="1">
        <v>19138</v>
      </c>
      <c r="F545" s="1">
        <v>2296.56</v>
      </c>
      <c r="G545" s="1">
        <v>16841.439999999999</v>
      </c>
      <c r="H545" s="1">
        <v>13670</v>
      </c>
    </row>
    <row r="546" spans="2:8" x14ac:dyDescent="0.25">
      <c r="B546" s="12">
        <v>1715</v>
      </c>
      <c r="C546" s="1">
        <v>5</v>
      </c>
      <c r="D546" s="1">
        <v>20</v>
      </c>
      <c r="E546" s="1">
        <v>34300</v>
      </c>
      <c r="F546" s="1">
        <v>4116</v>
      </c>
      <c r="G546" s="1">
        <v>30184</v>
      </c>
      <c r="H546" s="1">
        <v>17150</v>
      </c>
    </row>
    <row r="547" spans="2:8" x14ac:dyDescent="0.25">
      <c r="B547" s="12">
        <v>1186</v>
      </c>
      <c r="C547" s="1">
        <v>5</v>
      </c>
      <c r="D547" s="1">
        <v>300</v>
      </c>
      <c r="E547" s="1">
        <v>355800</v>
      </c>
      <c r="F547" s="1">
        <v>42696</v>
      </c>
      <c r="G547" s="1">
        <v>313104</v>
      </c>
      <c r="H547" s="1">
        <v>296500</v>
      </c>
    </row>
    <row r="548" spans="2:8" x14ac:dyDescent="0.25">
      <c r="B548" s="12">
        <v>3495</v>
      </c>
      <c r="C548" s="1">
        <v>10</v>
      </c>
      <c r="D548" s="1">
        <v>300</v>
      </c>
      <c r="E548" s="1">
        <v>1048500</v>
      </c>
      <c r="F548" s="1">
        <v>125820</v>
      </c>
      <c r="G548" s="1">
        <v>922680</v>
      </c>
      <c r="H548" s="1">
        <v>873750</v>
      </c>
    </row>
    <row r="549" spans="2:8" x14ac:dyDescent="0.25">
      <c r="B549" s="12">
        <v>886</v>
      </c>
      <c r="C549" s="1">
        <v>10</v>
      </c>
      <c r="D549" s="1">
        <v>350</v>
      </c>
      <c r="E549" s="1">
        <v>310100</v>
      </c>
      <c r="F549" s="1">
        <v>37212</v>
      </c>
      <c r="G549" s="1">
        <v>272888</v>
      </c>
      <c r="H549" s="1">
        <v>230360</v>
      </c>
    </row>
    <row r="550" spans="2:8" x14ac:dyDescent="0.25">
      <c r="B550" s="12">
        <v>2156</v>
      </c>
      <c r="C550" s="1">
        <v>10</v>
      </c>
      <c r="D550" s="1">
        <v>125</v>
      </c>
      <c r="E550" s="1">
        <v>269500</v>
      </c>
      <c r="F550" s="1">
        <v>32340</v>
      </c>
      <c r="G550" s="1">
        <v>237160</v>
      </c>
      <c r="H550" s="1">
        <v>258720</v>
      </c>
    </row>
    <row r="551" spans="2:8" x14ac:dyDescent="0.25">
      <c r="B551" s="12">
        <v>905</v>
      </c>
      <c r="C551" s="1">
        <v>10</v>
      </c>
      <c r="D551" s="1">
        <v>20</v>
      </c>
      <c r="E551" s="1">
        <v>18100</v>
      </c>
      <c r="F551" s="1">
        <v>2172</v>
      </c>
      <c r="G551" s="1">
        <v>15928</v>
      </c>
      <c r="H551" s="1">
        <v>9050</v>
      </c>
    </row>
    <row r="552" spans="2:8" x14ac:dyDescent="0.25">
      <c r="B552" s="12">
        <v>1715</v>
      </c>
      <c r="C552" s="1">
        <v>10</v>
      </c>
      <c r="D552" s="1">
        <v>20</v>
      </c>
      <c r="E552" s="1">
        <v>34300</v>
      </c>
      <c r="F552" s="1">
        <v>4116</v>
      </c>
      <c r="G552" s="1">
        <v>30184</v>
      </c>
      <c r="H552" s="1">
        <v>17150</v>
      </c>
    </row>
    <row r="553" spans="2:8" x14ac:dyDescent="0.25">
      <c r="B553" s="12">
        <v>1594</v>
      </c>
      <c r="C553" s="1">
        <v>10</v>
      </c>
      <c r="D553" s="1">
        <v>350</v>
      </c>
      <c r="E553" s="1">
        <v>557900</v>
      </c>
      <c r="F553" s="1">
        <v>66948</v>
      </c>
      <c r="G553" s="1">
        <v>490952</v>
      </c>
      <c r="H553" s="1">
        <v>414440</v>
      </c>
    </row>
    <row r="554" spans="2:8" x14ac:dyDescent="0.25">
      <c r="B554" s="12">
        <v>1359</v>
      </c>
      <c r="C554" s="1">
        <v>10</v>
      </c>
      <c r="D554" s="1">
        <v>300</v>
      </c>
      <c r="E554" s="1">
        <v>407700</v>
      </c>
      <c r="F554" s="1">
        <v>48924</v>
      </c>
      <c r="G554" s="1">
        <v>358776</v>
      </c>
      <c r="H554" s="1">
        <v>339750</v>
      </c>
    </row>
    <row r="555" spans="2:8" x14ac:dyDescent="0.25">
      <c r="B555" s="12">
        <v>2150</v>
      </c>
      <c r="C555" s="1">
        <v>10</v>
      </c>
      <c r="D555" s="1">
        <v>300</v>
      </c>
      <c r="E555" s="1">
        <v>645000</v>
      </c>
      <c r="F555" s="1">
        <v>77400</v>
      </c>
      <c r="G555" s="1">
        <v>567600</v>
      </c>
      <c r="H555" s="1">
        <v>537500</v>
      </c>
    </row>
    <row r="556" spans="2:8" x14ac:dyDescent="0.25">
      <c r="B556" s="12">
        <v>1197</v>
      </c>
      <c r="C556" s="1">
        <v>10</v>
      </c>
      <c r="D556" s="1">
        <v>350</v>
      </c>
      <c r="E556" s="1">
        <v>418950</v>
      </c>
      <c r="F556" s="1">
        <v>50274</v>
      </c>
      <c r="G556" s="1">
        <v>368676</v>
      </c>
      <c r="H556" s="1">
        <v>311220</v>
      </c>
    </row>
    <row r="557" spans="2:8" x14ac:dyDescent="0.25">
      <c r="B557" s="12">
        <v>380</v>
      </c>
      <c r="C557" s="1">
        <v>10</v>
      </c>
      <c r="D557" s="1">
        <v>15</v>
      </c>
      <c r="E557" s="1">
        <v>5700</v>
      </c>
      <c r="F557" s="1">
        <v>684</v>
      </c>
      <c r="G557" s="1">
        <v>5016</v>
      </c>
      <c r="H557" s="1">
        <v>3800</v>
      </c>
    </row>
    <row r="558" spans="2:8" x14ac:dyDescent="0.25">
      <c r="B558" s="12">
        <v>1233</v>
      </c>
      <c r="C558" s="1">
        <v>10</v>
      </c>
      <c r="D558" s="1">
        <v>20</v>
      </c>
      <c r="E558" s="1">
        <v>24660</v>
      </c>
      <c r="F558" s="1">
        <v>2959.2</v>
      </c>
      <c r="G558" s="1">
        <v>21700.799999999999</v>
      </c>
      <c r="H558" s="1">
        <v>12330</v>
      </c>
    </row>
    <row r="559" spans="2:8" x14ac:dyDescent="0.25">
      <c r="B559" s="12">
        <v>1395</v>
      </c>
      <c r="C559" s="1">
        <v>120</v>
      </c>
      <c r="D559" s="1">
        <v>350</v>
      </c>
      <c r="E559" s="1">
        <v>488250</v>
      </c>
      <c r="F559" s="1">
        <v>58590</v>
      </c>
      <c r="G559" s="1">
        <v>429660</v>
      </c>
      <c r="H559" s="1">
        <v>362700</v>
      </c>
    </row>
    <row r="560" spans="2:8" x14ac:dyDescent="0.25">
      <c r="B560" s="12">
        <v>986</v>
      </c>
      <c r="C560" s="1">
        <v>120</v>
      </c>
      <c r="D560" s="1">
        <v>350</v>
      </c>
      <c r="E560" s="1">
        <v>345100</v>
      </c>
      <c r="F560" s="1">
        <v>41412</v>
      </c>
      <c r="G560" s="1">
        <v>303688</v>
      </c>
      <c r="H560" s="1">
        <v>256360</v>
      </c>
    </row>
    <row r="561" spans="2:8" x14ac:dyDescent="0.25">
      <c r="B561" s="12">
        <v>905</v>
      </c>
      <c r="C561" s="1">
        <v>120</v>
      </c>
      <c r="D561" s="1">
        <v>20</v>
      </c>
      <c r="E561" s="1">
        <v>18100</v>
      </c>
      <c r="F561" s="1">
        <v>2172</v>
      </c>
      <c r="G561" s="1">
        <v>15928</v>
      </c>
      <c r="H561" s="1">
        <v>9050</v>
      </c>
    </row>
    <row r="562" spans="2:8" x14ac:dyDescent="0.25">
      <c r="B562" s="12">
        <v>2109</v>
      </c>
      <c r="C562" s="1">
        <v>250</v>
      </c>
      <c r="D562" s="1">
        <v>12</v>
      </c>
      <c r="E562" s="1">
        <v>25308</v>
      </c>
      <c r="F562" s="1">
        <v>3036.96</v>
      </c>
      <c r="G562" s="1">
        <v>22271.040000000001</v>
      </c>
      <c r="H562" s="1">
        <v>6327</v>
      </c>
    </row>
    <row r="563" spans="2:8" x14ac:dyDescent="0.25">
      <c r="B563" s="12">
        <v>3874.5</v>
      </c>
      <c r="C563" s="1">
        <v>250</v>
      </c>
      <c r="D563" s="1">
        <v>15</v>
      </c>
      <c r="E563" s="1">
        <v>58117.5</v>
      </c>
      <c r="F563" s="1">
        <v>6974.0999999999995</v>
      </c>
      <c r="G563" s="1">
        <v>51143.399999999994</v>
      </c>
      <c r="H563" s="1">
        <v>38745</v>
      </c>
    </row>
    <row r="564" spans="2:8" x14ac:dyDescent="0.25">
      <c r="B564" s="12">
        <v>623</v>
      </c>
      <c r="C564" s="1">
        <v>250</v>
      </c>
      <c r="D564" s="1">
        <v>350</v>
      </c>
      <c r="E564" s="1">
        <v>218050</v>
      </c>
      <c r="F564" s="1">
        <v>26166</v>
      </c>
      <c r="G564" s="1">
        <v>191884</v>
      </c>
      <c r="H564" s="1">
        <v>161980</v>
      </c>
    </row>
    <row r="565" spans="2:8" x14ac:dyDescent="0.25">
      <c r="B565" s="12">
        <v>986</v>
      </c>
      <c r="C565" s="1">
        <v>250</v>
      </c>
      <c r="D565" s="1">
        <v>350</v>
      </c>
      <c r="E565" s="1">
        <v>345100</v>
      </c>
      <c r="F565" s="1">
        <v>41412</v>
      </c>
      <c r="G565" s="1">
        <v>303688</v>
      </c>
      <c r="H565" s="1">
        <v>256360</v>
      </c>
    </row>
    <row r="566" spans="2:8" x14ac:dyDescent="0.25">
      <c r="B566" s="12">
        <v>2387</v>
      </c>
      <c r="C566" s="1">
        <v>250</v>
      </c>
      <c r="D566" s="1">
        <v>125</v>
      </c>
      <c r="E566" s="1">
        <v>298375</v>
      </c>
      <c r="F566" s="1">
        <v>35805</v>
      </c>
      <c r="G566" s="1">
        <v>262570</v>
      </c>
      <c r="H566" s="1">
        <v>286440</v>
      </c>
    </row>
    <row r="567" spans="2:8" x14ac:dyDescent="0.25">
      <c r="B567" s="12">
        <v>1233</v>
      </c>
      <c r="C567" s="1">
        <v>250</v>
      </c>
      <c r="D567" s="1">
        <v>20</v>
      </c>
      <c r="E567" s="1">
        <v>24660</v>
      </c>
      <c r="F567" s="1">
        <v>2959.2</v>
      </c>
      <c r="G567" s="1">
        <v>21700.799999999999</v>
      </c>
      <c r="H567" s="1">
        <v>12330</v>
      </c>
    </row>
    <row r="568" spans="2:8" x14ac:dyDescent="0.25">
      <c r="B568" s="12">
        <v>270</v>
      </c>
      <c r="C568" s="1">
        <v>260</v>
      </c>
      <c r="D568" s="1">
        <v>350</v>
      </c>
      <c r="E568" s="1">
        <v>94500</v>
      </c>
      <c r="F568" s="1">
        <v>11340</v>
      </c>
      <c r="G568" s="1">
        <v>83160</v>
      </c>
      <c r="H568" s="1">
        <v>70200</v>
      </c>
    </row>
    <row r="569" spans="2:8" x14ac:dyDescent="0.25">
      <c r="B569" s="12">
        <v>3421.5</v>
      </c>
      <c r="C569" s="1">
        <v>260</v>
      </c>
      <c r="D569" s="1">
        <v>7</v>
      </c>
      <c r="E569" s="1">
        <v>23950.5</v>
      </c>
      <c r="F569" s="1">
        <v>2874.06</v>
      </c>
      <c r="G569" s="1">
        <v>21076.44</v>
      </c>
      <c r="H569" s="1">
        <v>17107.5</v>
      </c>
    </row>
    <row r="570" spans="2:8" x14ac:dyDescent="0.25">
      <c r="B570" s="12">
        <v>2734</v>
      </c>
      <c r="C570" s="1">
        <v>260</v>
      </c>
      <c r="D570" s="1">
        <v>7</v>
      </c>
      <c r="E570" s="1">
        <v>19138</v>
      </c>
      <c r="F570" s="1">
        <v>2296.56</v>
      </c>
      <c r="G570" s="1">
        <v>16841.439999999999</v>
      </c>
      <c r="H570" s="1">
        <v>13670</v>
      </c>
    </row>
    <row r="571" spans="2:8" x14ac:dyDescent="0.25">
      <c r="B571" s="12">
        <v>2548</v>
      </c>
      <c r="C571" s="1">
        <v>260</v>
      </c>
      <c r="D571" s="1">
        <v>15</v>
      </c>
      <c r="E571" s="1">
        <v>38220</v>
      </c>
      <c r="F571" s="1">
        <v>4586.3999999999996</v>
      </c>
      <c r="G571" s="1">
        <v>33633.599999999999</v>
      </c>
      <c r="H571" s="1">
        <v>25480</v>
      </c>
    </row>
    <row r="572" spans="2:8" x14ac:dyDescent="0.25">
      <c r="B572" s="12">
        <v>2521.5</v>
      </c>
      <c r="C572" s="1">
        <v>3</v>
      </c>
      <c r="D572" s="1">
        <v>20</v>
      </c>
      <c r="E572" s="1">
        <v>50430</v>
      </c>
      <c r="F572" s="1">
        <v>6051.6</v>
      </c>
      <c r="G572" s="1">
        <v>44378.399999999994</v>
      </c>
      <c r="H572" s="1">
        <v>25215</v>
      </c>
    </row>
    <row r="573" spans="2:8" x14ac:dyDescent="0.25">
      <c r="B573" s="12">
        <v>2661</v>
      </c>
      <c r="C573" s="1">
        <v>5</v>
      </c>
      <c r="D573" s="1">
        <v>12</v>
      </c>
      <c r="E573" s="1">
        <v>31932</v>
      </c>
      <c r="F573" s="1">
        <v>3831.84</v>
      </c>
      <c r="G573" s="1">
        <v>28100.16</v>
      </c>
      <c r="H573" s="1">
        <v>7983</v>
      </c>
    </row>
    <row r="574" spans="2:8" x14ac:dyDescent="0.25">
      <c r="B574" s="12">
        <v>1531</v>
      </c>
      <c r="C574" s="1">
        <v>10</v>
      </c>
      <c r="D574" s="1">
        <v>20</v>
      </c>
      <c r="E574" s="1">
        <v>30620</v>
      </c>
      <c r="F574" s="1">
        <v>3674.4</v>
      </c>
      <c r="G574" s="1">
        <v>26945.599999999999</v>
      </c>
      <c r="H574" s="1">
        <v>15310</v>
      </c>
    </row>
    <row r="575" spans="2:8" x14ac:dyDescent="0.25">
      <c r="B575" s="12">
        <v>1491</v>
      </c>
      <c r="C575" s="1">
        <v>250</v>
      </c>
      <c r="D575" s="1">
        <v>7</v>
      </c>
      <c r="E575" s="1">
        <v>10437</v>
      </c>
      <c r="F575" s="1">
        <v>1252.44</v>
      </c>
      <c r="G575" s="1">
        <v>9184.56</v>
      </c>
      <c r="H575" s="1">
        <v>7455</v>
      </c>
    </row>
    <row r="576" spans="2:8" x14ac:dyDescent="0.25">
      <c r="B576" s="12">
        <v>1531</v>
      </c>
      <c r="C576" s="1">
        <v>250</v>
      </c>
      <c r="D576" s="1">
        <v>20</v>
      </c>
      <c r="E576" s="1">
        <v>30620</v>
      </c>
      <c r="F576" s="1">
        <v>3674.4</v>
      </c>
      <c r="G576" s="1">
        <v>26945.599999999999</v>
      </c>
      <c r="H576" s="1">
        <v>15310</v>
      </c>
    </row>
    <row r="577" spans="2:8" x14ac:dyDescent="0.25">
      <c r="B577" s="12">
        <v>2761</v>
      </c>
      <c r="C577" s="1">
        <v>260</v>
      </c>
      <c r="D577" s="1">
        <v>12</v>
      </c>
      <c r="E577" s="1">
        <v>33132</v>
      </c>
      <c r="F577" s="1">
        <v>3975.84</v>
      </c>
      <c r="G577" s="1">
        <v>29156.16</v>
      </c>
      <c r="H577" s="1">
        <v>8283</v>
      </c>
    </row>
    <row r="578" spans="2:8" x14ac:dyDescent="0.25">
      <c r="B578" s="12">
        <v>2567</v>
      </c>
      <c r="C578" s="1">
        <v>3</v>
      </c>
      <c r="D578" s="1">
        <v>15</v>
      </c>
      <c r="E578" s="1">
        <v>38505</v>
      </c>
      <c r="F578" s="1">
        <v>5005.6499999999996</v>
      </c>
      <c r="G578" s="1">
        <v>33499.35</v>
      </c>
      <c r="H578" s="1">
        <v>25670</v>
      </c>
    </row>
    <row r="579" spans="2:8" x14ac:dyDescent="0.25">
      <c r="B579" s="12">
        <v>2567</v>
      </c>
      <c r="C579" s="1">
        <v>250</v>
      </c>
      <c r="D579" s="1">
        <v>15</v>
      </c>
      <c r="E579" s="1">
        <v>38505</v>
      </c>
      <c r="F579" s="1">
        <v>5005.6499999999996</v>
      </c>
      <c r="G579" s="1">
        <v>33499.35</v>
      </c>
      <c r="H579" s="1">
        <v>25670</v>
      </c>
    </row>
    <row r="580" spans="2:8" x14ac:dyDescent="0.25">
      <c r="B580" s="12">
        <v>923</v>
      </c>
      <c r="C580" s="1">
        <v>3</v>
      </c>
      <c r="D580" s="1">
        <v>350</v>
      </c>
      <c r="E580" s="1">
        <v>323050</v>
      </c>
      <c r="F580" s="1">
        <v>41996.5</v>
      </c>
      <c r="G580" s="1">
        <v>281053.5</v>
      </c>
      <c r="H580" s="1">
        <v>239980</v>
      </c>
    </row>
    <row r="581" spans="2:8" x14ac:dyDescent="0.25">
      <c r="B581" s="12">
        <v>1790</v>
      </c>
      <c r="C581" s="1">
        <v>3</v>
      </c>
      <c r="D581" s="1">
        <v>350</v>
      </c>
      <c r="E581" s="1">
        <v>626500</v>
      </c>
      <c r="F581" s="1">
        <v>81445</v>
      </c>
      <c r="G581" s="1">
        <v>545055</v>
      </c>
      <c r="H581" s="1">
        <v>465400</v>
      </c>
    </row>
    <row r="582" spans="2:8" x14ac:dyDescent="0.25">
      <c r="B582" s="12">
        <v>442</v>
      </c>
      <c r="C582" s="1">
        <v>3</v>
      </c>
      <c r="D582" s="1">
        <v>20</v>
      </c>
      <c r="E582" s="1">
        <v>8840</v>
      </c>
      <c r="F582" s="1">
        <v>1149.2</v>
      </c>
      <c r="G582" s="1">
        <v>7690.8</v>
      </c>
      <c r="H582" s="1">
        <v>4420</v>
      </c>
    </row>
    <row r="583" spans="2:8" x14ac:dyDescent="0.25">
      <c r="B583" s="12">
        <v>982.5</v>
      </c>
      <c r="C583" s="1">
        <v>5</v>
      </c>
      <c r="D583" s="1">
        <v>350</v>
      </c>
      <c r="E583" s="1">
        <v>343875</v>
      </c>
      <c r="F583" s="1">
        <v>44703.75</v>
      </c>
      <c r="G583" s="1">
        <v>299171.25</v>
      </c>
      <c r="H583" s="1">
        <v>255450</v>
      </c>
    </row>
    <row r="584" spans="2:8" x14ac:dyDescent="0.25">
      <c r="B584" s="12">
        <v>1298</v>
      </c>
      <c r="C584" s="1">
        <v>5</v>
      </c>
      <c r="D584" s="1">
        <v>7</v>
      </c>
      <c r="E584" s="1">
        <v>9086</v>
      </c>
      <c r="F584" s="1">
        <v>1181.18</v>
      </c>
      <c r="G584" s="1">
        <v>7904.82</v>
      </c>
      <c r="H584" s="1">
        <v>6490</v>
      </c>
    </row>
    <row r="585" spans="2:8" x14ac:dyDescent="0.25">
      <c r="B585" s="12">
        <v>604</v>
      </c>
      <c r="C585" s="1">
        <v>5</v>
      </c>
      <c r="D585" s="1">
        <v>12</v>
      </c>
      <c r="E585" s="1">
        <v>7248</v>
      </c>
      <c r="F585" s="1">
        <v>942.24</v>
      </c>
      <c r="G585" s="1">
        <v>6305.76</v>
      </c>
      <c r="H585" s="1">
        <v>1812</v>
      </c>
    </row>
    <row r="586" spans="2:8" x14ac:dyDescent="0.25">
      <c r="B586" s="12">
        <v>2255</v>
      </c>
      <c r="C586" s="1">
        <v>5</v>
      </c>
      <c r="D586" s="1">
        <v>20</v>
      </c>
      <c r="E586" s="1">
        <v>45100</v>
      </c>
      <c r="F586" s="1">
        <v>5863</v>
      </c>
      <c r="G586" s="1">
        <v>39237</v>
      </c>
      <c r="H586" s="1">
        <v>22550</v>
      </c>
    </row>
    <row r="587" spans="2:8" x14ac:dyDescent="0.25">
      <c r="B587" s="12">
        <v>1249</v>
      </c>
      <c r="C587" s="1">
        <v>5</v>
      </c>
      <c r="D587" s="1">
        <v>20</v>
      </c>
      <c r="E587" s="1">
        <v>24980</v>
      </c>
      <c r="F587" s="1">
        <v>3247.4</v>
      </c>
      <c r="G587" s="1">
        <v>21732.6</v>
      </c>
      <c r="H587" s="1">
        <v>12490</v>
      </c>
    </row>
    <row r="588" spans="2:8" x14ac:dyDescent="0.25">
      <c r="B588" s="12">
        <v>1438.5</v>
      </c>
      <c r="C588" s="1">
        <v>10</v>
      </c>
      <c r="D588" s="1">
        <v>7</v>
      </c>
      <c r="E588" s="1">
        <v>10069.5</v>
      </c>
      <c r="F588" s="1">
        <v>1309.0350000000001</v>
      </c>
      <c r="G588" s="1">
        <v>8760.4650000000001</v>
      </c>
      <c r="H588" s="1">
        <v>7192.5</v>
      </c>
    </row>
    <row r="589" spans="2:8" x14ac:dyDescent="0.25">
      <c r="B589" s="12">
        <v>807</v>
      </c>
      <c r="C589" s="1">
        <v>10</v>
      </c>
      <c r="D589" s="1">
        <v>300</v>
      </c>
      <c r="E589" s="1">
        <v>242100</v>
      </c>
      <c r="F589" s="1">
        <v>31473</v>
      </c>
      <c r="G589" s="1">
        <v>210627</v>
      </c>
      <c r="H589" s="1">
        <v>201750</v>
      </c>
    </row>
    <row r="590" spans="2:8" x14ac:dyDescent="0.25">
      <c r="B590" s="12">
        <v>2641</v>
      </c>
      <c r="C590" s="1">
        <v>10</v>
      </c>
      <c r="D590" s="1">
        <v>20</v>
      </c>
      <c r="E590" s="1">
        <v>52820</v>
      </c>
      <c r="F590" s="1">
        <v>6866.6</v>
      </c>
      <c r="G590" s="1">
        <v>45953.4</v>
      </c>
      <c r="H590" s="1">
        <v>26410</v>
      </c>
    </row>
    <row r="591" spans="2:8" x14ac:dyDescent="0.25">
      <c r="B591" s="12">
        <v>2708</v>
      </c>
      <c r="C591" s="1">
        <v>10</v>
      </c>
      <c r="D591" s="1">
        <v>20</v>
      </c>
      <c r="E591" s="1">
        <v>54160</v>
      </c>
      <c r="F591" s="1">
        <v>7040.8</v>
      </c>
      <c r="G591" s="1">
        <v>47119.199999999997</v>
      </c>
      <c r="H591" s="1">
        <v>27080</v>
      </c>
    </row>
    <row r="592" spans="2:8" x14ac:dyDescent="0.25">
      <c r="B592" s="12">
        <v>2632</v>
      </c>
      <c r="C592" s="1">
        <v>10</v>
      </c>
      <c r="D592" s="1">
        <v>350</v>
      </c>
      <c r="E592" s="1">
        <v>921200</v>
      </c>
      <c r="F592" s="1">
        <v>119756</v>
      </c>
      <c r="G592" s="1">
        <v>801444</v>
      </c>
      <c r="H592" s="1">
        <v>684320</v>
      </c>
    </row>
    <row r="593" spans="2:8" x14ac:dyDescent="0.25">
      <c r="B593" s="12">
        <v>1583</v>
      </c>
      <c r="C593" s="1">
        <v>10</v>
      </c>
      <c r="D593" s="1">
        <v>125</v>
      </c>
      <c r="E593" s="1">
        <v>197875</v>
      </c>
      <c r="F593" s="1">
        <v>25723.75</v>
      </c>
      <c r="G593" s="1">
        <v>172151.25</v>
      </c>
      <c r="H593" s="1">
        <v>189960</v>
      </c>
    </row>
    <row r="594" spans="2:8" x14ac:dyDescent="0.25">
      <c r="B594" s="12">
        <v>571</v>
      </c>
      <c r="C594" s="1">
        <v>10</v>
      </c>
      <c r="D594" s="1">
        <v>12</v>
      </c>
      <c r="E594" s="1">
        <v>6852</v>
      </c>
      <c r="F594" s="1">
        <v>890.76</v>
      </c>
      <c r="G594" s="1">
        <v>5961.24</v>
      </c>
      <c r="H594" s="1">
        <v>1713</v>
      </c>
    </row>
    <row r="595" spans="2:8" x14ac:dyDescent="0.25">
      <c r="B595" s="12">
        <v>2696</v>
      </c>
      <c r="C595" s="1">
        <v>10</v>
      </c>
      <c r="D595" s="1">
        <v>7</v>
      </c>
      <c r="E595" s="1">
        <v>18872</v>
      </c>
      <c r="F595" s="1">
        <v>2453.36</v>
      </c>
      <c r="G595" s="1">
        <v>16418.64</v>
      </c>
      <c r="H595" s="1">
        <v>13480</v>
      </c>
    </row>
    <row r="596" spans="2:8" x14ac:dyDescent="0.25">
      <c r="B596" s="12">
        <v>1565</v>
      </c>
      <c r="C596" s="1">
        <v>10</v>
      </c>
      <c r="D596" s="1">
        <v>15</v>
      </c>
      <c r="E596" s="1">
        <v>23475</v>
      </c>
      <c r="F596" s="1">
        <v>3051.75</v>
      </c>
      <c r="G596" s="1">
        <v>20423.25</v>
      </c>
      <c r="H596" s="1">
        <v>15650</v>
      </c>
    </row>
    <row r="597" spans="2:8" x14ac:dyDescent="0.25">
      <c r="B597" s="12">
        <v>1249</v>
      </c>
      <c r="C597" s="1">
        <v>10</v>
      </c>
      <c r="D597" s="1">
        <v>20</v>
      </c>
      <c r="E597" s="1">
        <v>24980</v>
      </c>
      <c r="F597" s="1">
        <v>3247.4</v>
      </c>
      <c r="G597" s="1">
        <v>21732.6</v>
      </c>
      <c r="H597" s="1">
        <v>12490</v>
      </c>
    </row>
    <row r="598" spans="2:8" x14ac:dyDescent="0.25">
      <c r="B598" s="12">
        <v>357</v>
      </c>
      <c r="C598" s="1">
        <v>10</v>
      </c>
      <c r="D598" s="1">
        <v>350</v>
      </c>
      <c r="E598" s="1">
        <v>124950</v>
      </c>
      <c r="F598" s="1">
        <v>16243.5</v>
      </c>
      <c r="G598" s="1">
        <v>108706.5</v>
      </c>
      <c r="H598" s="1">
        <v>92820</v>
      </c>
    </row>
    <row r="599" spans="2:8" x14ac:dyDescent="0.25">
      <c r="B599" s="12">
        <v>1013</v>
      </c>
      <c r="C599" s="1">
        <v>10</v>
      </c>
      <c r="D599" s="1">
        <v>12</v>
      </c>
      <c r="E599" s="1">
        <v>12156</v>
      </c>
      <c r="F599" s="1">
        <v>1580.28</v>
      </c>
      <c r="G599" s="1">
        <v>10575.72</v>
      </c>
      <c r="H599" s="1">
        <v>3039</v>
      </c>
    </row>
    <row r="600" spans="2:8" x14ac:dyDescent="0.25">
      <c r="B600" s="12">
        <v>3997.5</v>
      </c>
      <c r="C600" s="1">
        <v>120</v>
      </c>
      <c r="D600" s="1">
        <v>15</v>
      </c>
      <c r="E600" s="1">
        <v>59962.5</v>
      </c>
      <c r="F600" s="1">
        <v>7795.125</v>
      </c>
      <c r="G600" s="1">
        <v>52167.375</v>
      </c>
      <c r="H600" s="1">
        <v>39975</v>
      </c>
    </row>
    <row r="601" spans="2:8" x14ac:dyDescent="0.25">
      <c r="B601" s="12">
        <v>2632</v>
      </c>
      <c r="C601" s="1">
        <v>120</v>
      </c>
      <c r="D601" s="1">
        <v>350</v>
      </c>
      <c r="E601" s="1">
        <v>921200</v>
      </c>
      <c r="F601" s="1">
        <v>119756</v>
      </c>
      <c r="G601" s="1">
        <v>801444</v>
      </c>
      <c r="H601" s="1">
        <v>684320</v>
      </c>
    </row>
    <row r="602" spans="2:8" x14ac:dyDescent="0.25">
      <c r="B602" s="12">
        <v>1190</v>
      </c>
      <c r="C602" s="1">
        <v>120</v>
      </c>
      <c r="D602" s="1">
        <v>7</v>
      </c>
      <c r="E602" s="1">
        <v>8330</v>
      </c>
      <c r="F602" s="1">
        <v>1082.9000000000001</v>
      </c>
      <c r="G602" s="1">
        <v>7247.1</v>
      </c>
      <c r="H602" s="1">
        <v>5950</v>
      </c>
    </row>
    <row r="603" spans="2:8" x14ac:dyDescent="0.25">
      <c r="B603" s="12">
        <v>604</v>
      </c>
      <c r="C603" s="1">
        <v>120</v>
      </c>
      <c r="D603" s="1">
        <v>12</v>
      </c>
      <c r="E603" s="1">
        <v>7248</v>
      </c>
      <c r="F603" s="1">
        <v>942.24</v>
      </c>
      <c r="G603" s="1">
        <v>6305.76</v>
      </c>
      <c r="H603" s="1">
        <v>1812</v>
      </c>
    </row>
    <row r="604" spans="2:8" x14ac:dyDescent="0.25">
      <c r="B604" s="12">
        <v>660</v>
      </c>
      <c r="C604" s="1">
        <v>120</v>
      </c>
      <c r="D604" s="1">
        <v>15</v>
      </c>
      <c r="E604" s="1">
        <v>9900</v>
      </c>
      <c r="F604" s="1">
        <v>1287</v>
      </c>
      <c r="G604" s="1">
        <v>8613</v>
      </c>
      <c r="H604" s="1">
        <v>6600</v>
      </c>
    </row>
    <row r="605" spans="2:8" x14ac:dyDescent="0.25">
      <c r="B605" s="12">
        <v>410</v>
      </c>
      <c r="C605" s="1">
        <v>120</v>
      </c>
      <c r="D605" s="1">
        <v>12</v>
      </c>
      <c r="E605" s="1">
        <v>4920</v>
      </c>
      <c r="F605" s="1">
        <v>639.6</v>
      </c>
      <c r="G605" s="1">
        <v>4280.3999999999996</v>
      </c>
      <c r="H605" s="1">
        <v>1230</v>
      </c>
    </row>
    <row r="606" spans="2:8" x14ac:dyDescent="0.25">
      <c r="B606" s="12">
        <v>2605</v>
      </c>
      <c r="C606" s="1">
        <v>120</v>
      </c>
      <c r="D606" s="1">
        <v>300</v>
      </c>
      <c r="E606" s="1">
        <v>781500</v>
      </c>
      <c r="F606" s="1">
        <v>101595</v>
      </c>
      <c r="G606" s="1">
        <v>679905</v>
      </c>
      <c r="H606" s="1">
        <v>651250</v>
      </c>
    </row>
    <row r="607" spans="2:8" x14ac:dyDescent="0.25">
      <c r="B607" s="12">
        <v>1013</v>
      </c>
      <c r="C607" s="1">
        <v>120</v>
      </c>
      <c r="D607" s="1">
        <v>12</v>
      </c>
      <c r="E607" s="1">
        <v>12156</v>
      </c>
      <c r="F607" s="1">
        <v>1580.28</v>
      </c>
      <c r="G607" s="1">
        <v>10575.72</v>
      </c>
      <c r="H607" s="1">
        <v>3039</v>
      </c>
    </row>
    <row r="608" spans="2:8" x14ac:dyDescent="0.25">
      <c r="B608" s="12">
        <v>1583</v>
      </c>
      <c r="C608" s="1">
        <v>250</v>
      </c>
      <c r="D608" s="1">
        <v>125</v>
      </c>
      <c r="E608" s="1">
        <v>197875</v>
      </c>
      <c r="F608" s="1">
        <v>25723.75</v>
      </c>
      <c r="G608" s="1">
        <v>172151.25</v>
      </c>
      <c r="H608" s="1">
        <v>189960</v>
      </c>
    </row>
    <row r="609" spans="2:8" x14ac:dyDescent="0.25">
      <c r="B609" s="12">
        <v>1565</v>
      </c>
      <c r="C609" s="1">
        <v>250</v>
      </c>
      <c r="D609" s="1">
        <v>15</v>
      </c>
      <c r="E609" s="1">
        <v>23475</v>
      </c>
      <c r="F609" s="1">
        <v>3051.75</v>
      </c>
      <c r="G609" s="1">
        <v>20423.25</v>
      </c>
      <c r="H609" s="1">
        <v>15650</v>
      </c>
    </row>
    <row r="610" spans="2:8" x14ac:dyDescent="0.25">
      <c r="B610" s="12">
        <v>1659</v>
      </c>
      <c r="C610" s="1">
        <v>260</v>
      </c>
      <c r="D610" s="1">
        <v>125</v>
      </c>
      <c r="E610" s="1">
        <v>207375</v>
      </c>
      <c r="F610" s="1">
        <v>26958.75</v>
      </c>
      <c r="G610" s="1">
        <v>180416.25</v>
      </c>
      <c r="H610" s="1">
        <v>199080</v>
      </c>
    </row>
    <row r="611" spans="2:8" x14ac:dyDescent="0.25">
      <c r="B611" s="12">
        <v>1190</v>
      </c>
      <c r="C611" s="1">
        <v>260</v>
      </c>
      <c r="D611" s="1">
        <v>7</v>
      </c>
      <c r="E611" s="1">
        <v>8330</v>
      </c>
      <c r="F611" s="1">
        <v>1082.9000000000001</v>
      </c>
      <c r="G611" s="1">
        <v>7247.1</v>
      </c>
      <c r="H611" s="1">
        <v>5950</v>
      </c>
    </row>
    <row r="612" spans="2:8" x14ac:dyDescent="0.25">
      <c r="B612" s="12">
        <v>410</v>
      </c>
      <c r="C612" s="1">
        <v>260</v>
      </c>
      <c r="D612" s="1">
        <v>12</v>
      </c>
      <c r="E612" s="1">
        <v>4920</v>
      </c>
      <c r="F612" s="1">
        <v>639.6</v>
      </c>
      <c r="G612" s="1">
        <v>4280.3999999999996</v>
      </c>
      <c r="H612" s="1">
        <v>1230</v>
      </c>
    </row>
    <row r="613" spans="2:8" x14ac:dyDescent="0.25">
      <c r="B613" s="12">
        <v>1770</v>
      </c>
      <c r="C613" s="1">
        <v>260</v>
      </c>
      <c r="D613" s="1">
        <v>12</v>
      </c>
      <c r="E613" s="1">
        <v>21240</v>
      </c>
      <c r="F613" s="1">
        <v>2761.2</v>
      </c>
      <c r="G613" s="1">
        <v>18478.8</v>
      </c>
      <c r="H613" s="1">
        <v>5310</v>
      </c>
    </row>
    <row r="614" spans="2:8" x14ac:dyDescent="0.25">
      <c r="B614" s="12">
        <v>2579</v>
      </c>
      <c r="C614" s="1">
        <v>3</v>
      </c>
      <c r="D614" s="1">
        <v>20</v>
      </c>
      <c r="E614" s="1">
        <v>51580</v>
      </c>
      <c r="F614" s="1">
        <v>7221.2</v>
      </c>
      <c r="G614" s="1">
        <v>44358.8</v>
      </c>
      <c r="H614" s="1">
        <v>25790</v>
      </c>
    </row>
    <row r="615" spans="2:8" x14ac:dyDescent="0.25">
      <c r="B615" s="12">
        <v>1743</v>
      </c>
      <c r="C615" s="1">
        <v>3</v>
      </c>
      <c r="D615" s="1">
        <v>20</v>
      </c>
      <c r="E615" s="1">
        <v>34860</v>
      </c>
      <c r="F615" s="1">
        <v>4880.3999999999996</v>
      </c>
      <c r="G615" s="1">
        <v>29979.599999999999</v>
      </c>
      <c r="H615" s="1">
        <v>17430</v>
      </c>
    </row>
    <row r="616" spans="2:8" x14ac:dyDescent="0.25">
      <c r="B616" s="12">
        <v>2996</v>
      </c>
      <c r="C616" s="1">
        <v>3</v>
      </c>
      <c r="D616" s="1">
        <v>7</v>
      </c>
      <c r="E616" s="1">
        <v>20972</v>
      </c>
      <c r="F616" s="1">
        <v>2936.08</v>
      </c>
      <c r="G616" s="1">
        <v>18035.919999999998</v>
      </c>
      <c r="H616" s="1">
        <v>14980</v>
      </c>
    </row>
    <row r="617" spans="2:8" x14ac:dyDescent="0.25">
      <c r="B617" s="12">
        <v>280</v>
      </c>
      <c r="C617" s="1">
        <v>3</v>
      </c>
      <c r="D617" s="1">
        <v>7</v>
      </c>
      <c r="E617" s="1">
        <v>1960</v>
      </c>
      <c r="F617" s="1">
        <v>274.39999999999998</v>
      </c>
      <c r="G617" s="1">
        <v>1685.6</v>
      </c>
      <c r="H617" s="1">
        <v>1400</v>
      </c>
    </row>
    <row r="618" spans="2:8" x14ac:dyDescent="0.25">
      <c r="B618" s="12">
        <v>293</v>
      </c>
      <c r="C618" s="1">
        <v>5</v>
      </c>
      <c r="D618" s="1">
        <v>7</v>
      </c>
      <c r="E618" s="1">
        <v>2051</v>
      </c>
      <c r="F618" s="1">
        <v>287.14</v>
      </c>
      <c r="G618" s="1">
        <v>1763.8600000000001</v>
      </c>
      <c r="H618" s="1">
        <v>1465</v>
      </c>
    </row>
    <row r="619" spans="2:8" x14ac:dyDescent="0.25">
      <c r="B619" s="12">
        <v>2996</v>
      </c>
      <c r="C619" s="1">
        <v>5</v>
      </c>
      <c r="D619" s="1">
        <v>7</v>
      </c>
      <c r="E619" s="1">
        <v>20972</v>
      </c>
      <c r="F619" s="1">
        <v>2936.08</v>
      </c>
      <c r="G619" s="1">
        <v>18035.919999999998</v>
      </c>
      <c r="H619" s="1">
        <v>14980</v>
      </c>
    </row>
    <row r="620" spans="2:8" x14ac:dyDescent="0.25">
      <c r="B620" s="12">
        <v>278</v>
      </c>
      <c r="C620" s="1">
        <v>10</v>
      </c>
      <c r="D620" s="1">
        <v>15</v>
      </c>
      <c r="E620" s="1">
        <v>4170</v>
      </c>
      <c r="F620" s="1">
        <v>583.79999999999995</v>
      </c>
      <c r="G620" s="1">
        <v>3586.2</v>
      </c>
      <c r="H620" s="1">
        <v>2780</v>
      </c>
    </row>
    <row r="621" spans="2:8" x14ac:dyDescent="0.25">
      <c r="B621" s="12">
        <v>2428</v>
      </c>
      <c r="C621" s="1">
        <v>10</v>
      </c>
      <c r="D621" s="1">
        <v>20</v>
      </c>
      <c r="E621" s="1">
        <v>48560</v>
      </c>
      <c r="F621" s="1">
        <v>6798.4</v>
      </c>
      <c r="G621" s="1">
        <v>41761.599999999999</v>
      </c>
      <c r="H621" s="1">
        <v>24280</v>
      </c>
    </row>
    <row r="622" spans="2:8" x14ac:dyDescent="0.25">
      <c r="B622" s="12">
        <v>1767</v>
      </c>
      <c r="C622" s="1">
        <v>10</v>
      </c>
      <c r="D622" s="1">
        <v>15</v>
      </c>
      <c r="E622" s="1">
        <v>26505</v>
      </c>
      <c r="F622" s="1">
        <v>3710.7</v>
      </c>
      <c r="G622" s="1">
        <v>22794.3</v>
      </c>
      <c r="H622" s="1">
        <v>17670</v>
      </c>
    </row>
    <row r="623" spans="2:8" x14ac:dyDescent="0.25">
      <c r="B623" s="12">
        <v>1393</v>
      </c>
      <c r="C623" s="1">
        <v>10</v>
      </c>
      <c r="D623" s="1">
        <v>12</v>
      </c>
      <c r="E623" s="1">
        <v>16716</v>
      </c>
      <c r="F623" s="1">
        <v>2340.2399999999998</v>
      </c>
      <c r="G623" s="1">
        <v>14375.76</v>
      </c>
      <c r="H623" s="1">
        <v>4179</v>
      </c>
    </row>
    <row r="624" spans="2:8" x14ac:dyDescent="0.25">
      <c r="B624" s="12">
        <v>280</v>
      </c>
      <c r="C624" s="1">
        <v>250</v>
      </c>
      <c r="D624" s="1">
        <v>7</v>
      </c>
      <c r="E624" s="1">
        <v>1960</v>
      </c>
      <c r="F624" s="1">
        <v>274.39999999999998</v>
      </c>
      <c r="G624" s="1">
        <v>1685.6</v>
      </c>
      <c r="H624" s="1">
        <v>1400</v>
      </c>
    </row>
    <row r="625" spans="2:8" x14ac:dyDescent="0.25">
      <c r="B625" s="12">
        <v>1393</v>
      </c>
      <c r="C625" s="1">
        <v>260</v>
      </c>
      <c r="D625" s="1">
        <v>12</v>
      </c>
      <c r="E625" s="1">
        <v>16716</v>
      </c>
      <c r="F625" s="1">
        <v>2340.2399999999998</v>
      </c>
      <c r="G625" s="1">
        <v>14375.76</v>
      </c>
      <c r="H625" s="1">
        <v>4179</v>
      </c>
    </row>
    <row r="626" spans="2:8" x14ac:dyDescent="0.25">
      <c r="B626" s="12">
        <v>2015</v>
      </c>
      <c r="C626" s="1">
        <v>260</v>
      </c>
      <c r="D626" s="1">
        <v>12</v>
      </c>
      <c r="E626" s="1">
        <v>24180</v>
      </c>
      <c r="F626" s="1">
        <v>3385.2</v>
      </c>
      <c r="G626" s="1">
        <v>20794.8</v>
      </c>
      <c r="H626" s="1">
        <v>6045</v>
      </c>
    </row>
    <row r="627" spans="2:8" x14ac:dyDescent="0.25">
      <c r="B627" s="12">
        <v>801</v>
      </c>
      <c r="C627" s="1">
        <v>3</v>
      </c>
      <c r="D627" s="1">
        <v>300</v>
      </c>
      <c r="E627" s="1">
        <v>240300</v>
      </c>
      <c r="F627" s="1">
        <v>33642</v>
      </c>
      <c r="G627" s="1">
        <v>206658</v>
      </c>
      <c r="H627" s="1">
        <v>200250</v>
      </c>
    </row>
    <row r="628" spans="2:8" x14ac:dyDescent="0.25">
      <c r="B628" s="12">
        <v>1023</v>
      </c>
      <c r="C628" s="1">
        <v>3</v>
      </c>
      <c r="D628" s="1">
        <v>125</v>
      </c>
      <c r="E628" s="1">
        <v>127875</v>
      </c>
      <c r="F628" s="1">
        <v>17902.5</v>
      </c>
      <c r="G628" s="1">
        <v>109972.5</v>
      </c>
      <c r="H628" s="1">
        <v>122760</v>
      </c>
    </row>
    <row r="629" spans="2:8" x14ac:dyDescent="0.25">
      <c r="B629" s="12">
        <v>1496</v>
      </c>
      <c r="C629" s="1">
        <v>3</v>
      </c>
      <c r="D629" s="1">
        <v>300</v>
      </c>
      <c r="E629" s="1">
        <v>448800</v>
      </c>
      <c r="F629" s="1">
        <v>62832</v>
      </c>
      <c r="G629" s="1">
        <v>385968</v>
      </c>
      <c r="H629" s="1">
        <v>374000</v>
      </c>
    </row>
    <row r="630" spans="2:8" x14ac:dyDescent="0.25">
      <c r="B630" s="12">
        <v>1010</v>
      </c>
      <c r="C630" s="1">
        <v>3</v>
      </c>
      <c r="D630" s="1">
        <v>300</v>
      </c>
      <c r="E630" s="1">
        <v>303000</v>
      </c>
      <c r="F630" s="1">
        <v>42420</v>
      </c>
      <c r="G630" s="1">
        <v>260580</v>
      </c>
      <c r="H630" s="1">
        <v>252500</v>
      </c>
    </row>
    <row r="631" spans="2:8" x14ac:dyDescent="0.25">
      <c r="B631" s="12">
        <v>1513</v>
      </c>
      <c r="C631" s="1">
        <v>3</v>
      </c>
      <c r="D631" s="1">
        <v>15</v>
      </c>
      <c r="E631" s="1">
        <v>22695</v>
      </c>
      <c r="F631" s="1">
        <v>3177.3</v>
      </c>
      <c r="G631" s="1">
        <v>19517.7</v>
      </c>
      <c r="H631" s="1">
        <v>15130</v>
      </c>
    </row>
    <row r="632" spans="2:8" x14ac:dyDescent="0.25">
      <c r="B632" s="12">
        <v>2300</v>
      </c>
      <c r="C632" s="1">
        <v>3</v>
      </c>
      <c r="D632" s="1">
        <v>15</v>
      </c>
      <c r="E632" s="1">
        <v>34500</v>
      </c>
      <c r="F632" s="1">
        <v>4830</v>
      </c>
      <c r="G632" s="1">
        <v>29670</v>
      </c>
      <c r="H632" s="1">
        <v>23000</v>
      </c>
    </row>
    <row r="633" spans="2:8" x14ac:dyDescent="0.25">
      <c r="B633" s="12">
        <v>2821</v>
      </c>
      <c r="C633" s="1">
        <v>3</v>
      </c>
      <c r="D633" s="1">
        <v>125</v>
      </c>
      <c r="E633" s="1">
        <v>352625</v>
      </c>
      <c r="F633" s="1">
        <v>49367.5</v>
      </c>
      <c r="G633" s="1">
        <v>303257.5</v>
      </c>
      <c r="H633" s="1">
        <v>338520</v>
      </c>
    </row>
    <row r="634" spans="2:8" x14ac:dyDescent="0.25">
      <c r="B634" s="12">
        <v>2227.5</v>
      </c>
      <c r="C634" s="1">
        <v>5</v>
      </c>
      <c r="D634" s="1">
        <v>350</v>
      </c>
      <c r="E634" s="1">
        <v>779625</v>
      </c>
      <c r="F634" s="1">
        <v>109147.5</v>
      </c>
      <c r="G634" s="1">
        <v>670477.5</v>
      </c>
      <c r="H634" s="1">
        <v>579150</v>
      </c>
    </row>
    <row r="635" spans="2:8" x14ac:dyDescent="0.25">
      <c r="B635" s="12">
        <v>1199</v>
      </c>
      <c r="C635" s="1">
        <v>5</v>
      </c>
      <c r="D635" s="1">
        <v>350</v>
      </c>
      <c r="E635" s="1">
        <v>419650</v>
      </c>
      <c r="F635" s="1">
        <v>58751</v>
      </c>
      <c r="G635" s="1">
        <v>360899</v>
      </c>
      <c r="H635" s="1">
        <v>311740</v>
      </c>
    </row>
    <row r="636" spans="2:8" x14ac:dyDescent="0.25">
      <c r="B636" s="12">
        <v>200</v>
      </c>
      <c r="C636" s="1">
        <v>5</v>
      </c>
      <c r="D636" s="1">
        <v>350</v>
      </c>
      <c r="E636" s="1">
        <v>70000</v>
      </c>
      <c r="F636" s="1">
        <v>9800</v>
      </c>
      <c r="G636" s="1">
        <v>60200</v>
      </c>
      <c r="H636" s="1">
        <v>52000</v>
      </c>
    </row>
    <row r="637" spans="2:8" x14ac:dyDescent="0.25">
      <c r="B637" s="12">
        <v>388</v>
      </c>
      <c r="C637" s="1">
        <v>5</v>
      </c>
      <c r="D637" s="1">
        <v>7</v>
      </c>
      <c r="E637" s="1">
        <v>2716</v>
      </c>
      <c r="F637" s="1">
        <v>380.24</v>
      </c>
      <c r="G637" s="1">
        <v>2335.7600000000002</v>
      </c>
      <c r="H637" s="1">
        <v>1940</v>
      </c>
    </row>
    <row r="638" spans="2:8" x14ac:dyDescent="0.25">
      <c r="B638" s="12">
        <v>1727</v>
      </c>
      <c r="C638" s="1">
        <v>5</v>
      </c>
      <c r="D638" s="1">
        <v>7</v>
      </c>
      <c r="E638" s="1">
        <v>12089</v>
      </c>
      <c r="F638" s="1">
        <v>1692.46</v>
      </c>
      <c r="G638" s="1">
        <v>10396.540000000001</v>
      </c>
      <c r="H638" s="1">
        <v>8635</v>
      </c>
    </row>
    <row r="639" spans="2:8" x14ac:dyDescent="0.25">
      <c r="B639" s="12">
        <v>2300</v>
      </c>
      <c r="C639" s="1">
        <v>5</v>
      </c>
      <c r="D639" s="1">
        <v>15</v>
      </c>
      <c r="E639" s="1">
        <v>34500</v>
      </c>
      <c r="F639" s="1">
        <v>4830</v>
      </c>
      <c r="G639" s="1">
        <v>29670</v>
      </c>
      <c r="H639" s="1">
        <v>23000</v>
      </c>
    </row>
    <row r="640" spans="2:8" x14ac:dyDescent="0.25">
      <c r="B640" s="12">
        <v>260</v>
      </c>
      <c r="C640" s="1">
        <v>10</v>
      </c>
      <c r="D640" s="1">
        <v>20</v>
      </c>
      <c r="E640" s="1">
        <v>5200</v>
      </c>
      <c r="F640" s="1">
        <v>728</v>
      </c>
      <c r="G640" s="1">
        <v>4472</v>
      </c>
      <c r="H640" s="1">
        <v>2600</v>
      </c>
    </row>
    <row r="641" spans="2:8" x14ac:dyDescent="0.25">
      <c r="B641" s="12">
        <v>2470</v>
      </c>
      <c r="C641" s="1">
        <v>10</v>
      </c>
      <c r="D641" s="1">
        <v>15</v>
      </c>
      <c r="E641" s="1">
        <v>37050</v>
      </c>
      <c r="F641" s="1">
        <v>5187</v>
      </c>
      <c r="G641" s="1">
        <v>31863</v>
      </c>
      <c r="H641" s="1">
        <v>24700</v>
      </c>
    </row>
    <row r="642" spans="2:8" x14ac:dyDescent="0.25">
      <c r="B642" s="12">
        <v>1743</v>
      </c>
      <c r="C642" s="1">
        <v>10</v>
      </c>
      <c r="D642" s="1">
        <v>15</v>
      </c>
      <c r="E642" s="1">
        <v>26145</v>
      </c>
      <c r="F642" s="1">
        <v>3660.3</v>
      </c>
      <c r="G642" s="1">
        <v>22484.7</v>
      </c>
      <c r="H642" s="1">
        <v>17430</v>
      </c>
    </row>
    <row r="643" spans="2:8" x14ac:dyDescent="0.25">
      <c r="B643" s="12">
        <v>2914</v>
      </c>
      <c r="C643" s="1">
        <v>10</v>
      </c>
      <c r="D643" s="1">
        <v>12</v>
      </c>
      <c r="E643" s="1">
        <v>34968</v>
      </c>
      <c r="F643" s="1">
        <v>4895.5200000000004</v>
      </c>
      <c r="G643" s="1">
        <v>30072.48</v>
      </c>
      <c r="H643" s="1">
        <v>8742</v>
      </c>
    </row>
    <row r="644" spans="2:8" x14ac:dyDescent="0.25">
      <c r="B644" s="12">
        <v>1731</v>
      </c>
      <c r="C644" s="1">
        <v>10</v>
      </c>
      <c r="D644" s="1">
        <v>7</v>
      </c>
      <c r="E644" s="1">
        <v>12117</v>
      </c>
      <c r="F644" s="1">
        <v>1696.38</v>
      </c>
      <c r="G644" s="1">
        <v>10420.619999999999</v>
      </c>
      <c r="H644" s="1">
        <v>8655</v>
      </c>
    </row>
    <row r="645" spans="2:8" x14ac:dyDescent="0.25">
      <c r="B645" s="12">
        <v>700</v>
      </c>
      <c r="C645" s="1">
        <v>10</v>
      </c>
      <c r="D645" s="1">
        <v>350</v>
      </c>
      <c r="E645" s="1">
        <v>245000</v>
      </c>
      <c r="F645" s="1">
        <v>34300</v>
      </c>
      <c r="G645" s="1">
        <v>210700</v>
      </c>
      <c r="H645" s="1">
        <v>182000</v>
      </c>
    </row>
    <row r="646" spans="2:8" x14ac:dyDescent="0.25">
      <c r="B646" s="12">
        <v>2222</v>
      </c>
      <c r="C646" s="1">
        <v>10</v>
      </c>
      <c r="D646" s="1">
        <v>12</v>
      </c>
      <c r="E646" s="1">
        <v>26664</v>
      </c>
      <c r="F646" s="1">
        <v>3732.96</v>
      </c>
      <c r="G646" s="1">
        <v>22931.040000000001</v>
      </c>
      <c r="H646" s="1">
        <v>6666</v>
      </c>
    </row>
    <row r="647" spans="2:8" x14ac:dyDescent="0.25">
      <c r="B647" s="12">
        <v>1177</v>
      </c>
      <c r="C647" s="1">
        <v>10</v>
      </c>
      <c r="D647" s="1">
        <v>350</v>
      </c>
      <c r="E647" s="1">
        <v>411950</v>
      </c>
      <c r="F647" s="1">
        <v>57673</v>
      </c>
      <c r="G647" s="1">
        <v>354277</v>
      </c>
      <c r="H647" s="1">
        <v>306020</v>
      </c>
    </row>
    <row r="648" spans="2:8" x14ac:dyDescent="0.25">
      <c r="B648" s="12">
        <v>1922</v>
      </c>
      <c r="C648" s="1">
        <v>10</v>
      </c>
      <c r="D648" s="1">
        <v>350</v>
      </c>
      <c r="E648" s="1">
        <v>672700</v>
      </c>
      <c r="F648" s="1">
        <v>94178</v>
      </c>
      <c r="G648" s="1">
        <v>578522</v>
      </c>
      <c r="H648" s="1">
        <v>499720</v>
      </c>
    </row>
    <row r="649" spans="2:8" x14ac:dyDescent="0.25">
      <c r="B649" s="12">
        <v>1575</v>
      </c>
      <c r="C649" s="1">
        <v>120</v>
      </c>
      <c r="D649" s="1">
        <v>125</v>
      </c>
      <c r="E649" s="1">
        <v>196875</v>
      </c>
      <c r="F649" s="1">
        <v>27562.5</v>
      </c>
      <c r="G649" s="1">
        <v>169312.5</v>
      </c>
      <c r="H649" s="1">
        <v>189000</v>
      </c>
    </row>
    <row r="650" spans="2:8" x14ac:dyDescent="0.25">
      <c r="B650" s="12">
        <v>606</v>
      </c>
      <c r="C650" s="1">
        <v>120</v>
      </c>
      <c r="D650" s="1">
        <v>20</v>
      </c>
      <c r="E650" s="1">
        <v>12120</v>
      </c>
      <c r="F650" s="1">
        <v>1696.8000000000002</v>
      </c>
      <c r="G650" s="1">
        <v>10423.200000000001</v>
      </c>
      <c r="H650" s="1">
        <v>6060</v>
      </c>
    </row>
    <row r="651" spans="2:8" x14ac:dyDescent="0.25">
      <c r="B651" s="12">
        <v>2460</v>
      </c>
      <c r="C651" s="1">
        <v>120</v>
      </c>
      <c r="D651" s="1">
        <v>300</v>
      </c>
      <c r="E651" s="1">
        <v>738000</v>
      </c>
      <c r="F651" s="1">
        <v>103320</v>
      </c>
      <c r="G651" s="1">
        <v>634680</v>
      </c>
      <c r="H651" s="1">
        <v>615000</v>
      </c>
    </row>
    <row r="652" spans="2:8" x14ac:dyDescent="0.25">
      <c r="B652" s="12">
        <v>269</v>
      </c>
      <c r="C652" s="1">
        <v>120</v>
      </c>
      <c r="D652" s="1">
        <v>300</v>
      </c>
      <c r="E652" s="1">
        <v>80700</v>
      </c>
      <c r="F652" s="1">
        <v>11298</v>
      </c>
      <c r="G652" s="1">
        <v>69402</v>
      </c>
      <c r="H652" s="1">
        <v>67250</v>
      </c>
    </row>
    <row r="653" spans="2:8" x14ac:dyDescent="0.25">
      <c r="B653" s="12">
        <v>2536</v>
      </c>
      <c r="C653" s="1">
        <v>120</v>
      </c>
      <c r="D653" s="1">
        <v>300</v>
      </c>
      <c r="E653" s="1">
        <v>760800</v>
      </c>
      <c r="F653" s="1">
        <v>106512</v>
      </c>
      <c r="G653" s="1">
        <v>654288</v>
      </c>
      <c r="H653" s="1">
        <v>634000</v>
      </c>
    </row>
    <row r="654" spans="2:8" x14ac:dyDescent="0.25">
      <c r="B654" s="12">
        <v>2903</v>
      </c>
      <c r="C654" s="1">
        <v>250</v>
      </c>
      <c r="D654" s="1">
        <v>7</v>
      </c>
      <c r="E654" s="1">
        <v>20321</v>
      </c>
      <c r="F654" s="1">
        <v>2844.94</v>
      </c>
      <c r="G654" s="1">
        <v>17476.060000000001</v>
      </c>
      <c r="H654" s="1">
        <v>14515</v>
      </c>
    </row>
    <row r="655" spans="2:8" x14ac:dyDescent="0.25">
      <c r="B655" s="12">
        <v>2541</v>
      </c>
      <c r="C655" s="1">
        <v>250</v>
      </c>
      <c r="D655" s="1">
        <v>300</v>
      </c>
      <c r="E655" s="1">
        <v>762300</v>
      </c>
      <c r="F655" s="1">
        <v>106722</v>
      </c>
      <c r="G655" s="1">
        <v>655578</v>
      </c>
      <c r="H655" s="1">
        <v>635250</v>
      </c>
    </row>
    <row r="656" spans="2:8" x14ac:dyDescent="0.25">
      <c r="B656" s="12">
        <v>269</v>
      </c>
      <c r="C656" s="1">
        <v>250</v>
      </c>
      <c r="D656" s="1">
        <v>300</v>
      </c>
      <c r="E656" s="1">
        <v>80700</v>
      </c>
      <c r="F656" s="1">
        <v>11298</v>
      </c>
      <c r="G656" s="1">
        <v>69402</v>
      </c>
      <c r="H656" s="1">
        <v>67250</v>
      </c>
    </row>
    <row r="657" spans="2:8" x14ac:dyDescent="0.25">
      <c r="B657" s="12">
        <v>1496</v>
      </c>
      <c r="C657" s="1">
        <v>250</v>
      </c>
      <c r="D657" s="1">
        <v>300</v>
      </c>
      <c r="E657" s="1">
        <v>448800</v>
      </c>
      <c r="F657" s="1">
        <v>62832</v>
      </c>
      <c r="G657" s="1">
        <v>385968</v>
      </c>
      <c r="H657" s="1">
        <v>374000</v>
      </c>
    </row>
    <row r="658" spans="2:8" x14ac:dyDescent="0.25">
      <c r="B658" s="12">
        <v>1010</v>
      </c>
      <c r="C658" s="1">
        <v>250</v>
      </c>
      <c r="D658" s="1">
        <v>300</v>
      </c>
      <c r="E658" s="1">
        <v>303000</v>
      </c>
      <c r="F658" s="1">
        <v>42420</v>
      </c>
      <c r="G658" s="1">
        <v>260580</v>
      </c>
      <c r="H658" s="1">
        <v>252500</v>
      </c>
    </row>
    <row r="659" spans="2:8" x14ac:dyDescent="0.25">
      <c r="B659" s="12">
        <v>1281</v>
      </c>
      <c r="C659" s="1">
        <v>250</v>
      </c>
      <c r="D659" s="1">
        <v>350</v>
      </c>
      <c r="E659" s="1">
        <v>448350</v>
      </c>
      <c r="F659" s="1">
        <v>62769</v>
      </c>
      <c r="G659" s="1">
        <v>385581</v>
      </c>
      <c r="H659" s="1">
        <v>333060</v>
      </c>
    </row>
    <row r="660" spans="2:8" x14ac:dyDescent="0.25">
      <c r="B660" s="12">
        <v>888</v>
      </c>
      <c r="C660" s="1">
        <v>260</v>
      </c>
      <c r="D660" s="1">
        <v>300</v>
      </c>
      <c r="E660" s="1">
        <v>266400</v>
      </c>
      <c r="F660" s="1">
        <v>37296</v>
      </c>
      <c r="G660" s="1">
        <v>229104</v>
      </c>
      <c r="H660" s="1">
        <v>222000</v>
      </c>
    </row>
    <row r="661" spans="2:8" x14ac:dyDescent="0.25">
      <c r="B661" s="12">
        <v>2844</v>
      </c>
      <c r="C661" s="1">
        <v>260</v>
      </c>
      <c r="D661" s="1">
        <v>125</v>
      </c>
      <c r="E661" s="1">
        <v>355500</v>
      </c>
      <c r="F661" s="1">
        <v>49770</v>
      </c>
      <c r="G661" s="1">
        <v>305730</v>
      </c>
      <c r="H661" s="1">
        <v>341280</v>
      </c>
    </row>
    <row r="662" spans="2:8" x14ac:dyDescent="0.25">
      <c r="B662" s="12">
        <v>2475</v>
      </c>
      <c r="C662" s="1">
        <v>260</v>
      </c>
      <c r="D662" s="1">
        <v>12</v>
      </c>
      <c r="E662" s="1">
        <v>29700</v>
      </c>
      <c r="F662" s="1">
        <v>4158</v>
      </c>
      <c r="G662" s="1">
        <v>25542</v>
      </c>
      <c r="H662" s="1">
        <v>7425</v>
      </c>
    </row>
    <row r="663" spans="2:8" x14ac:dyDescent="0.25">
      <c r="B663" s="12">
        <v>1743</v>
      </c>
      <c r="C663" s="1">
        <v>260</v>
      </c>
      <c r="D663" s="1">
        <v>15</v>
      </c>
      <c r="E663" s="1">
        <v>26145</v>
      </c>
      <c r="F663" s="1">
        <v>3660.3</v>
      </c>
      <c r="G663" s="1">
        <v>22484.7</v>
      </c>
      <c r="H663" s="1">
        <v>17430</v>
      </c>
    </row>
    <row r="664" spans="2:8" x14ac:dyDescent="0.25">
      <c r="B664" s="12">
        <v>2914</v>
      </c>
      <c r="C664" s="1">
        <v>260</v>
      </c>
      <c r="D664" s="1">
        <v>12</v>
      </c>
      <c r="E664" s="1">
        <v>34968</v>
      </c>
      <c r="F664" s="1">
        <v>4895.5200000000004</v>
      </c>
      <c r="G664" s="1">
        <v>30072.48</v>
      </c>
      <c r="H664" s="1">
        <v>8742</v>
      </c>
    </row>
    <row r="665" spans="2:8" x14ac:dyDescent="0.25">
      <c r="B665" s="12">
        <v>1731</v>
      </c>
      <c r="C665" s="1">
        <v>260</v>
      </c>
      <c r="D665" s="1">
        <v>7</v>
      </c>
      <c r="E665" s="1">
        <v>12117</v>
      </c>
      <c r="F665" s="1">
        <v>1696.38</v>
      </c>
      <c r="G665" s="1">
        <v>10420.619999999999</v>
      </c>
      <c r="H665" s="1">
        <v>8655</v>
      </c>
    </row>
    <row r="666" spans="2:8" x14ac:dyDescent="0.25">
      <c r="B666" s="12">
        <v>1727</v>
      </c>
      <c r="C666" s="1">
        <v>260</v>
      </c>
      <c r="D666" s="1">
        <v>7</v>
      </c>
      <c r="E666" s="1">
        <v>12089</v>
      </c>
      <c r="F666" s="1">
        <v>1692.46</v>
      </c>
      <c r="G666" s="1">
        <v>10396.540000000001</v>
      </c>
      <c r="H666" s="1">
        <v>8635</v>
      </c>
    </row>
    <row r="667" spans="2:8" x14ac:dyDescent="0.25">
      <c r="B667" s="12">
        <v>1870</v>
      </c>
      <c r="C667" s="1">
        <v>260</v>
      </c>
      <c r="D667" s="1">
        <v>15</v>
      </c>
      <c r="E667" s="1">
        <v>28050</v>
      </c>
      <c r="F667" s="1">
        <v>3927</v>
      </c>
      <c r="G667" s="1">
        <v>24123</v>
      </c>
      <c r="H667" s="1">
        <v>18700</v>
      </c>
    </row>
    <row r="668" spans="2:8" x14ac:dyDescent="0.25">
      <c r="B668" s="12">
        <v>1174</v>
      </c>
      <c r="C668" s="1">
        <v>3</v>
      </c>
      <c r="D668" s="1">
        <v>125</v>
      </c>
      <c r="E668" s="1">
        <v>146750</v>
      </c>
      <c r="F668" s="1">
        <v>22012.5</v>
      </c>
      <c r="G668" s="1">
        <v>124737.5</v>
      </c>
      <c r="H668" s="1">
        <v>140880</v>
      </c>
    </row>
    <row r="669" spans="2:8" x14ac:dyDescent="0.25">
      <c r="B669" s="12">
        <v>2767</v>
      </c>
      <c r="C669" s="1">
        <v>3</v>
      </c>
      <c r="D669" s="1">
        <v>125</v>
      </c>
      <c r="E669" s="1">
        <v>345875</v>
      </c>
      <c r="F669" s="1">
        <v>51881.25</v>
      </c>
      <c r="G669" s="1">
        <v>293993.75</v>
      </c>
      <c r="H669" s="1">
        <v>332040</v>
      </c>
    </row>
    <row r="670" spans="2:8" x14ac:dyDescent="0.25">
      <c r="B670" s="12">
        <v>1085</v>
      </c>
      <c r="C670" s="1">
        <v>3</v>
      </c>
      <c r="D670" s="1">
        <v>125</v>
      </c>
      <c r="E670" s="1">
        <v>135625</v>
      </c>
      <c r="F670" s="1">
        <v>20343.75</v>
      </c>
      <c r="G670" s="1">
        <v>115281.25</v>
      </c>
      <c r="H670" s="1">
        <v>130200</v>
      </c>
    </row>
    <row r="671" spans="2:8" x14ac:dyDescent="0.25">
      <c r="B671" s="12">
        <v>546</v>
      </c>
      <c r="C671" s="1">
        <v>5</v>
      </c>
      <c r="D671" s="1">
        <v>300</v>
      </c>
      <c r="E671" s="1">
        <v>163800</v>
      </c>
      <c r="F671" s="1">
        <v>24570</v>
      </c>
      <c r="G671" s="1">
        <v>139230</v>
      </c>
      <c r="H671" s="1">
        <v>136500</v>
      </c>
    </row>
    <row r="672" spans="2:8" x14ac:dyDescent="0.25">
      <c r="B672" s="12">
        <v>1158</v>
      </c>
      <c r="C672" s="1">
        <v>10</v>
      </c>
      <c r="D672" s="1">
        <v>20</v>
      </c>
      <c r="E672" s="1">
        <v>23160</v>
      </c>
      <c r="F672" s="1">
        <v>3474</v>
      </c>
      <c r="G672" s="1">
        <v>19686</v>
      </c>
      <c r="H672" s="1">
        <v>11580</v>
      </c>
    </row>
    <row r="673" spans="2:8" x14ac:dyDescent="0.25">
      <c r="B673" s="12">
        <v>1614</v>
      </c>
      <c r="C673" s="1">
        <v>10</v>
      </c>
      <c r="D673" s="1">
        <v>15</v>
      </c>
      <c r="E673" s="1">
        <v>24210</v>
      </c>
      <c r="F673" s="1">
        <v>3631.5</v>
      </c>
      <c r="G673" s="1">
        <v>20578.5</v>
      </c>
      <c r="H673" s="1">
        <v>16140</v>
      </c>
    </row>
    <row r="674" spans="2:8" x14ac:dyDescent="0.25">
      <c r="B674" s="12">
        <v>2535</v>
      </c>
      <c r="C674" s="1">
        <v>10</v>
      </c>
      <c r="D674" s="1">
        <v>7</v>
      </c>
      <c r="E674" s="1">
        <v>17745</v>
      </c>
      <c r="F674" s="1">
        <v>2661.75</v>
      </c>
      <c r="G674" s="1">
        <v>15083.25</v>
      </c>
      <c r="H674" s="1">
        <v>12675</v>
      </c>
    </row>
    <row r="675" spans="2:8" x14ac:dyDescent="0.25">
      <c r="B675" s="12">
        <v>2851</v>
      </c>
      <c r="C675" s="1">
        <v>10</v>
      </c>
      <c r="D675" s="1">
        <v>350</v>
      </c>
      <c r="E675" s="1">
        <v>997850</v>
      </c>
      <c r="F675" s="1">
        <v>149677.5</v>
      </c>
      <c r="G675" s="1">
        <v>848172.5</v>
      </c>
      <c r="H675" s="1">
        <v>741260</v>
      </c>
    </row>
    <row r="676" spans="2:8" x14ac:dyDescent="0.25">
      <c r="B676" s="12">
        <v>2559</v>
      </c>
      <c r="C676" s="1">
        <v>10</v>
      </c>
      <c r="D676" s="1">
        <v>15</v>
      </c>
      <c r="E676" s="1">
        <v>38385</v>
      </c>
      <c r="F676" s="1">
        <v>5757.75</v>
      </c>
      <c r="G676" s="1">
        <v>32627.25</v>
      </c>
      <c r="H676" s="1">
        <v>25590</v>
      </c>
    </row>
    <row r="677" spans="2:8" x14ac:dyDescent="0.25">
      <c r="B677" s="12">
        <v>267</v>
      </c>
      <c r="C677" s="1">
        <v>10</v>
      </c>
      <c r="D677" s="1">
        <v>20</v>
      </c>
      <c r="E677" s="1">
        <v>5340</v>
      </c>
      <c r="F677" s="1">
        <v>801</v>
      </c>
      <c r="G677" s="1">
        <v>4539</v>
      </c>
      <c r="H677" s="1">
        <v>2670</v>
      </c>
    </row>
    <row r="678" spans="2:8" x14ac:dyDescent="0.25">
      <c r="B678" s="12">
        <v>1085</v>
      </c>
      <c r="C678" s="1">
        <v>10</v>
      </c>
      <c r="D678" s="1">
        <v>125</v>
      </c>
      <c r="E678" s="1">
        <v>135625</v>
      </c>
      <c r="F678" s="1">
        <v>20343.75</v>
      </c>
      <c r="G678" s="1">
        <v>115281.25</v>
      </c>
      <c r="H678" s="1">
        <v>130200</v>
      </c>
    </row>
    <row r="679" spans="2:8" x14ac:dyDescent="0.25">
      <c r="B679" s="12">
        <v>1175</v>
      </c>
      <c r="C679" s="1">
        <v>10</v>
      </c>
      <c r="D679" s="1">
        <v>15</v>
      </c>
      <c r="E679" s="1">
        <v>17625</v>
      </c>
      <c r="F679" s="1">
        <v>2643.75</v>
      </c>
      <c r="G679" s="1">
        <v>14981.25</v>
      </c>
      <c r="H679" s="1">
        <v>11750</v>
      </c>
    </row>
    <row r="680" spans="2:8" x14ac:dyDescent="0.25">
      <c r="B680" s="12">
        <v>2007</v>
      </c>
      <c r="C680" s="1">
        <v>10</v>
      </c>
      <c r="D680" s="1">
        <v>350</v>
      </c>
      <c r="E680" s="1">
        <v>702450</v>
      </c>
      <c r="F680" s="1">
        <v>105367.5</v>
      </c>
      <c r="G680" s="1">
        <v>597082.5</v>
      </c>
      <c r="H680" s="1">
        <v>521820</v>
      </c>
    </row>
    <row r="681" spans="2:8" x14ac:dyDescent="0.25">
      <c r="B681" s="12">
        <v>2151</v>
      </c>
      <c r="C681" s="1">
        <v>10</v>
      </c>
      <c r="D681" s="1">
        <v>350</v>
      </c>
      <c r="E681" s="1">
        <v>752850</v>
      </c>
      <c r="F681" s="1">
        <v>112927.5</v>
      </c>
      <c r="G681" s="1">
        <v>639922.5</v>
      </c>
      <c r="H681" s="1">
        <v>559260</v>
      </c>
    </row>
    <row r="682" spans="2:8" x14ac:dyDescent="0.25">
      <c r="B682" s="12">
        <v>914</v>
      </c>
      <c r="C682" s="1">
        <v>10</v>
      </c>
      <c r="D682" s="1">
        <v>12</v>
      </c>
      <c r="E682" s="1">
        <v>10968</v>
      </c>
      <c r="F682" s="1">
        <v>1645.2</v>
      </c>
      <c r="G682" s="1">
        <v>9322.7999999999993</v>
      </c>
      <c r="H682" s="1">
        <v>2742</v>
      </c>
    </row>
    <row r="683" spans="2:8" x14ac:dyDescent="0.25">
      <c r="B683" s="12">
        <v>293</v>
      </c>
      <c r="C683" s="1">
        <v>10</v>
      </c>
      <c r="D683" s="1">
        <v>20</v>
      </c>
      <c r="E683" s="1">
        <v>5860</v>
      </c>
      <c r="F683" s="1">
        <v>879</v>
      </c>
      <c r="G683" s="1">
        <v>4981</v>
      </c>
      <c r="H683" s="1">
        <v>2930</v>
      </c>
    </row>
    <row r="684" spans="2:8" x14ac:dyDescent="0.25">
      <c r="B684" s="12">
        <v>500</v>
      </c>
      <c r="C684" s="1">
        <v>120</v>
      </c>
      <c r="D684" s="1">
        <v>12</v>
      </c>
      <c r="E684" s="1">
        <v>6000</v>
      </c>
      <c r="F684" s="1">
        <v>900</v>
      </c>
      <c r="G684" s="1">
        <v>5100</v>
      </c>
      <c r="H684" s="1">
        <v>1500</v>
      </c>
    </row>
    <row r="685" spans="2:8" x14ac:dyDescent="0.25">
      <c r="B685" s="12">
        <v>2826</v>
      </c>
      <c r="C685" s="1">
        <v>120</v>
      </c>
      <c r="D685" s="1">
        <v>15</v>
      </c>
      <c r="E685" s="1">
        <v>42390</v>
      </c>
      <c r="F685" s="1">
        <v>6358.5</v>
      </c>
      <c r="G685" s="1">
        <v>36031.5</v>
      </c>
      <c r="H685" s="1">
        <v>28260</v>
      </c>
    </row>
    <row r="686" spans="2:8" x14ac:dyDescent="0.25">
      <c r="B686" s="12">
        <v>663</v>
      </c>
      <c r="C686" s="1">
        <v>120</v>
      </c>
      <c r="D686" s="1">
        <v>125</v>
      </c>
      <c r="E686" s="1">
        <v>82875</v>
      </c>
      <c r="F686" s="1">
        <v>12431.25</v>
      </c>
      <c r="G686" s="1">
        <v>70443.75</v>
      </c>
      <c r="H686" s="1">
        <v>79560</v>
      </c>
    </row>
    <row r="687" spans="2:8" x14ac:dyDescent="0.25">
      <c r="B687" s="12">
        <v>2574</v>
      </c>
      <c r="C687" s="1">
        <v>120</v>
      </c>
      <c r="D687" s="1">
        <v>300</v>
      </c>
      <c r="E687" s="1">
        <v>772200</v>
      </c>
      <c r="F687" s="1">
        <v>115830</v>
      </c>
      <c r="G687" s="1">
        <v>656370</v>
      </c>
      <c r="H687" s="1">
        <v>643500</v>
      </c>
    </row>
    <row r="688" spans="2:8" x14ac:dyDescent="0.25">
      <c r="B688" s="12">
        <v>2438</v>
      </c>
      <c r="C688" s="1">
        <v>120</v>
      </c>
      <c r="D688" s="1">
        <v>125</v>
      </c>
      <c r="E688" s="1">
        <v>304750</v>
      </c>
      <c r="F688" s="1">
        <v>45712.5</v>
      </c>
      <c r="G688" s="1">
        <v>259037.5</v>
      </c>
      <c r="H688" s="1">
        <v>292560</v>
      </c>
    </row>
    <row r="689" spans="2:8" x14ac:dyDescent="0.25">
      <c r="B689" s="12">
        <v>914</v>
      </c>
      <c r="C689" s="1">
        <v>120</v>
      </c>
      <c r="D689" s="1">
        <v>12</v>
      </c>
      <c r="E689" s="1">
        <v>10968</v>
      </c>
      <c r="F689" s="1">
        <v>1645.2</v>
      </c>
      <c r="G689" s="1">
        <v>9322.7999999999993</v>
      </c>
      <c r="H689" s="1">
        <v>2742</v>
      </c>
    </row>
    <row r="690" spans="2:8" x14ac:dyDescent="0.25">
      <c r="B690" s="12">
        <v>865.5</v>
      </c>
      <c r="C690" s="1">
        <v>250</v>
      </c>
      <c r="D690" s="1">
        <v>20</v>
      </c>
      <c r="E690" s="1">
        <v>17310</v>
      </c>
      <c r="F690" s="1">
        <v>2596.5</v>
      </c>
      <c r="G690" s="1">
        <v>14713.5</v>
      </c>
      <c r="H690" s="1">
        <v>8655</v>
      </c>
    </row>
    <row r="691" spans="2:8" x14ac:dyDescent="0.25">
      <c r="B691" s="12">
        <v>492</v>
      </c>
      <c r="C691" s="1">
        <v>250</v>
      </c>
      <c r="D691" s="1">
        <v>15</v>
      </c>
      <c r="E691" s="1">
        <v>7380</v>
      </c>
      <c r="F691" s="1">
        <v>1107</v>
      </c>
      <c r="G691" s="1">
        <v>6273</v>
      </c>
      <c r="H691" s="1">
        <v>4920</v>
      </c>
    </row>
    <row r="692" spans="2:8" x14ac:dyDescent="0.25">
      <c r="B692" s="12">
        <v>267</v>
      </c>
      <c r="C692" s="1">
        <v>250</v>
      </c>
      <c r="D692" s="1">
        <v>20</v>
      </c>
      <c r="E692" s="1">
        <v>5340</v>
      </c>
      <c r="F692" s="1">
        <v>801</v>
      </c>
      <c r="G692" s="1">
        <v>4539</v>
      </c>
      <c r="H692" s="1">
        <v>2670</v>
      </c>
    </row>
    <row r="693" spans="2:8" x14ac:dyDescent="0.25">
      <c r="B693" s="12">
        <v>1175</v>
      </c>
      <c r="C693" s="1">
        <v>250</v>
      </c>
      <c r="D693" s="1">
        <v>15</v>
      </c>
      <c r="E693" s="1">
        <v>17625</v>
      </c>
      <c r="F693" s="1">
        <v>2643.75</v>
      </c>
      <c r="G693" s="1">
        <v>14981.25</v>
      </c>
      <c r="H693" s="1">
        <v>11750</v>
      </c>
    </row>
    <row r="694" spans="2:8" x14ac:dyDescent="0.25">
      <c r="B694" s="12">
        <v>2954</v>
      </c>
      <c r="C694" s="1">
        <v>250</v>
      </c>
      <c r="D694" s="1">
        <v>125</v>
      </c>
      <c r="E694" s="1">
        <v>369250</v>
      </c>
      <c r="F694" s="1">
        <v>55387.5</v>
      </c>
      <c r="G694" s="1">
        <v>313862.5</v>
      </c>
      <c r="H694" s="1">
        <v>354480</v>
      </c>
    </row>
    <row r="695" spans="2:8" x14ac:dyDescent="0.25">
      <c r="B695" s="12">
        <v>552</v>
      </c>
      <c r="C695" s="1">
        <v>250</v>
      </c>
      <c r="D695" s="1">
        <v>125</v>
      </c>
      <c r="E695" s="1">
        <v>69000</v>
      </c>
      <c r="F695" s="1">
        <v>10350</v>
      </c>
      <c r="G695" s="1">
        <v>58650</v>
      </c>
      <c r="H695" s="1">
        <v>66240</v>
      </c>
    </row>
    <row r="696" spans="2:8" x14ac:dyDescent="0.25">
      <c r="B696" s="12">
        <v>293</v>
      </c>
      <c r="C696" s="1">
        <v>250</v>
      </c>
      <c r="D696" s="1">
        <v>20</v>
      </c>
      <c r="E696" s="1">
        <v>5860</v>
      </c>
      <c r="F696" s="1">
        <v>879</v>
      </c>
      <c r="G696" s="1">
        <v>4981</v>
      </c>
      <c r="H696" s="1">
        <v>2930</v>
      </c>
    </row>
    <row r="697" spans="2:8" x14ac:dyDescent="0.25">
      <c r="B697" s="12">
        <v>2475</v>
      </c>
      <c r="C697" s="1">
        <v>260</v>
      </c>
      <c r="D697" s="1">
        <v>300</v>
      </c>
      <c r="E697" s="1">
        <v>742500</v>
      </c>
      <c r="F697" s="1">
        <v>111375</v>
      </c>
      <c r="G697" s="1">
        <v>631125</v>
      </c>
      <c r="H697" s="1">
        <v>618750</v>
      </c>
    </row>
    <row r="698" spans="2:8" x14ac:dyDescent="0.25">
      <c r="B698" s="12">
        <v>546</v>
      </c>
      <c r="C698" s="1">
        <v>260</v>
      </c>
      <c r="D698" s="1">
        <v>300</v>
      </c>
      <c r="E698" s="1">
        <v>163800</v>
      </c>
      <c r="F698" s="1">
        <v>24570</v>
      </c>
      <c r="G698" s="1">
        <v>139230</v>
      </c>
      <c r="H698" s="1">
        <v>136500</v>
      </c>
    </row>
    <row r="699" spans="2:8" x14ac:dyDescent="0.25">
      <c r="B699" s="12">
        <v>1368</v>
      </c>
      <c r="C699" s="1">
        <v>5</v>
      </c>
      <c r="D699" s="1">
        <v>7</v>
      </c>
      <c r="E699" s="1">
        <v>9576</v>
      </c>
      <c r="F699" s="1">
        <v>1436.4</v>
      </c>
      <c r="G699" s="1">
        <v>8139.6</v>
      </c>
      <c r="H699" s="1">
        <v>6840</v>
      </c>
    </row>
    <row r="700" spans="2:8" x14ac:dyDescent="0.25">
      <c r="B700" s="12">
        <v>723</v>
      </c>
      <c r="C700" s="1">
        <v>10</v>
      </c>
      <c r="D700" s="1">
        <v>7</v>
      </c>
      <c r="E700" s="1">
        <v>5061</v>
      </c>
      <c r="F700" s="1">
        <v>759.15000000000009</v>
      </c>
      <c r="G700" s="1">
        <v>4301.8500000000004</v>
      </c>
      <c r="H700" s="1">
        <v>3615</v>
      </c>
    </row>
    <row r="701" spans="2:8" x14ac:dyDescent="0.25">
      <c r="B701" s="13">
        <v>1806</v>
      </c>
      <c r="C701" s="1">
        <v>250</v>
      </c>
      <c r="D701" s="1">
        <v>12</v>
      </c>
      <c r="E701" s="1">
        <v>21672</v>
      </c>
      <c r="F701" s="1">
        <v>3250.8</v>
      </c>
      <c r="G701" s="1">
        <v>18421.2</v>
      </c>
      <c r="H701" s="1">
        <v>5418</v>
      </c>
    </row>
    <row r="704" spans="2:8" x14ac:dyDescent="0.25">
      <c r="C704" s="17">
        <v>67534</v>
      </c>
      <c r="D704" s="17">
        <v>82900</v>
      </c>
      <c r="E704" s="17">
        <v>127931598.5</v>
      </c>
      <c r="F704" s="17">
        <v>9205248.2400000021</v>
      </c>
      <c r="G704" s="17">
        <v>118726350.25999992</v>
      </c>
      <c r="H704" s="17">
        <v>101832648</v>
      </c>
    </row>
    <row r="705" spans="3:8" x14ac:dyDescent="0.25">
      <c r="C705" s="17">
        <v>96.477142857142852</v>
      </c>
      <c r="D705" s="17">
        <v>118.42857142857143</v>
      </c>
      <c r="E705" s="17">
        <v>182759.42642857143</v>
      </c>
      <c r="F705" s="17">
        <v>13150.354628571431</v>
      </c>
      <c r="G705" s="17">
        <v>169609.07179999989</v>
      </c>
      <c r="H705" s="17">
        <v>145475.21142857143</v>
      </c>
    </row>
    <row r="706" spans="3:8" x14ac:dyDescent="0.25">
      <c r="C706" s="17">
        <v>10</v>
      </c>
      <c r="D706" s="17">
        <v>20</v>
      </c>
      <c r="E706" s="17">
        <v>37980</v>
      </c>
      <c r="F706" s="17">
        <v>2585.25</v>
      </c>
      <c r="G706" s="17">
        <v>35540.199999999997</v>
      </c>
      <c r="H706" s="17">
        <v>22506.25</v>
      </c>
    </row>
    <row r="707" spans="3:8" x14ac:dyDescent="0.25">
      <c r="C707" s="17">
        <v>10</v>
      </c>
      <c r="D707" s="17">
        <v>20</v>
      </c>
      <c r="E707" s="17">
        <v>37050</v>
      </c>
      <c r="F707" s="17">
        <v>0</v>
      </c>
      <c r="G707" s="17">
        <v>32670</v>
      </c>
      <c r="H707" s="17">
        <v>17430</v>
      </c>
    </row>
    <row r="708" spans="3:8" x14ac:dyDescent="0.25">
      <c r="C708" s="17">
        <v>108.602612186813</v>
      </c>
      <c r="D708" s="17">
        <v>136.7755145691398</v>
      </c>
      <c r="E708" s="17">
        <v>254262.28437834271</v>
      </c>
      <c r="F708" s="17">
        <v>22962.928774797867</v>
      </c>
      <c r="G708" s="17">
        <v>236726.34690976146</v>
      </c>
      <c r="H708" s="17">
        <v>203865.50611847595</v>
      </c>
    </row>
    <row r="709" spans="3:8" x14ac:dyDescent="0.25">
      <c r="C709" s="17">
        <v>260</v>
      </c>
      <c r="D709" s="17">
        <v>350</v>
      </c>
      <c r="E709" s="17">
        <v>1207500</v>
      </c>
      <c r="F709" s="17">
        <v>149677.5</v>
      </c>
      <c r="G709" s="17">
        <v>1159200</v>
      </c>
      <c r="H709" s="17">
        <v>950625</v>
      </c>
    </row>
  </sheetData>
  <conditionalFormatting sqref="H1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70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 OF SALES</vt:lpstr>
      <vt:lpstr>Sheet3</vt:lpstr>
      <vt:lpstr>Sheet4</vt:lpstr>
      <vt:lpstr>T TEST</vt:lpstr>
      <vt:lpstr>Sheet7</vt:lpstr>
      <vt:lpstr>Sheet8</vt:lpstr>
      <vt:lpstr>Segments percentage</vt:lpstr>
      <vt:lpstr>segments</vt:lpstr>
      <vt:lpstr>country wise discount band</vt:lpstr>
      <vt:lpstr>year wise profit and unit sold</vt:lpstr>
      <vt:lpstr>Sheet17</vt:lpstr>
      <vt:lpstr>Sheet5</vt:lpstr>
      <vt:lpstr>sum of profit by segment and ye</vt:lpstr>
      <vt:lpstr>Sheet9</vt:lpstr>
      <vt:lpstr>Sheet2</vt:lpstr>
      <vt:lpstr>Sheet11</vt:lpstr>
      <vt:lpstr>segment wise discount</vt:lpstr>
      <vt:lpstr>Sheet6</vt:lpstr>
      <vt:lpstr>Sheet1</vt:lpstr>
      <vt:lpstr>Sheet15</vt:lpstr>
      <vt:lpstr>Statistical Analysis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Vishal Pathak HRM</cp:lastModifiedBy>
  <dcterms:created xsi:type="dcterms:W3CDTF">2014-01-28T02:45:41Z</dcterms:created>
  <dcterms:modified xsi:type="dcterms:W3CDTF">2023-09-04T06:57:29Z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